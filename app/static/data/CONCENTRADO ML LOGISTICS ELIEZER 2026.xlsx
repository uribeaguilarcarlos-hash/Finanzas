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61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llogistics165-my.sharepoint.com/personal/fernanda_mllogisticscompany_com/Documents/"/>
    </mc:Choice>
  </mc:AlternateContent>
  <xr:revisionPtr revIDLastSave="8601" documentId="8_{7B2C4693-4FE3-4432-9121-8539A34B42EC}" xr6:coauthVersionLast="47" xr6:coauthVersionMax="47" xr10:uidLastSave="{A806EF5F-A85C-40E1-A2B7-4B0DC51C17E8}"/>
  <bookViews>
    <workbookView xWindow="24" yWindow="120" windowWidth="23016" windowHeight="12216" tabRatio="903" firstSheet="18" activeTab="38" xr2:uid="{280AE88D-9D48-4A5F-B887-46B3C11BA373}"/>
  </bookViews>
  <sheets>
    <sheet name="CUENTA GENERAL" sheetId="13" r:id="rId1"/>
    <sheet name="JM" sheetId="3" state="hidden" r:id="rId2"/>
    <sheet name="AB" sheetId="4" r:id="rId3"/>
    <sheet name="NUDU" sheetId="6" r:id="rId4"/>
    <sheet name="IHE" sheetId="25" r:id="rId5"/>
    <sheet name="ELI" sheetId="5" state="hidden" r:id="rId6"/>
    <sheet name="HHB" sheetId="7" r:id="rId7"/>
    <sheet name="RED" sheetId="8" r:id="rId8"/>
    <sheet name="MAN" sheetId="9" r:id="rId9"/>
    <sheet name="YOSEF" sheetId="11" r:id="rId10"/>
    <sheet name="YTM" sheetId="68" r:id="rId11"/>
    <sheet name="HOLLY" sheetId="31" state="hidden" r:id="rId12"/>
    <sheet name="ARG" sheetId="12" state="hidden" r:id="rId13"/>
    <sheet name="IMPORT ONE" sheetId="14" state="hidden" r:id="rId14"/>
    <sheet name="ELIAS LEVY" sheetId="37" r:id="rId15"/>
    <sheet name="ALEJANDRO" sheetId="16" state="hidden" r:id="rId16"/>
    <sheet name="JACK LEVY" sheetId="40" r:id="rId17"/>
    <sheet name="JHK" sheetId="50" r:id="rId18"/>
    <sheet name="SALOMON JASQUI" sheetId="17" r:id="rId19"/>
    <sheet name="RAMON BETECH" sheetId="18" r:id="rId20"/>
    <sheet name="GAS" sheetId="35" state="hidden" r:id="rId21"/>
    <sheet name="SMEKE" sheetId="39" state="hidden" r:id="rId22"/>
    <sheet name="ABY ASSA" sheetId="22" state="hidden" r:id="rId23"/>
    <sheet name="SUPRA" sheetId="34" state="hidden" r:id="rId24"/>
    <sheet name="GLAM" sheetId="70" r:id="rId25"/>
    <sheet name="AASZ " sheetId="59" r:id="rId26"/>
    <sheet name="LU" sheetId="43" r:id="rId27"/>
    <sheet name="GE" sheetId="41" state="hidden" r:id="rId28"/>
    <sheet name="ABRAHAM" sheetId="32" state="hidden" r:id="rId29"/>
    <sheet name="M" sheetId="42" state="hidden" r:id="rId30"/>
    <sheet name="MARIO EMILIANO" sheetId="44" state="hidden" r:id="rId31"/>
    <sheet name="BENA" sheetId="53" r:id="rId32"/>
    <sheet name="JIV" sheetId="54" r:id="rId33"/>
    <sheet name="BH" sheetId="58" r:id="rId34"/>
    <sheet name="INA" sheetId="52" r:id="rId35"/>
    <sheet name="MNS" sheetId="66" r:id="rId36"/>
    <sheet name="LUCK" sheetId="60" r:id="rId37"/>
    <sheet name="ELJA" sheetId="69" r:id="rId38"/>
    <sheet name="CATTAN" sheetId="61" r:id="rId39"/>
    <sheet name="PAT" sheetId="64" r:id="rId40"/>
    <sheet name="DACH" sheetId="65" r:id="rId41"/>
    <sheet name="JOSHUA CREDI" sheetId="38" r:id="rId42"/>
    <sheet name="KOBI" sheetId="63" r:id="rId43"/>
    <sheet name="SKM" sheetId="79" r:id="rId44"/>
    <sheet name="ANM" sheetId="78" r:id="rId45"/>
    <sheet name="MOSHE TUACHI" sheetId="67" r:id="rId46"/>
    <sheet name="JAZ" sheetId="71" r:id="rId47"/>
    <sheet name="ANHERST" sheetId="75" r:id="rId48"/>
    <sheet name="JERARKYNG" sheetId="80" r:id="rId49"/>
    <sheet name="MERCURIO" sheetId="76" r:id="rId50"/>
    <sheet name="PAGOS" sheetId="29" r:id="rId51"/>
    <sheet name="Hoja1" sheetId="1" state="hidden" r:id="rId52"/>
  </sheets>
  <definedNames>
    <definedName name="_xlnm._FilterDatabase" localSheetId="0" hidden="1">'CUENTA GENERAL'!$B$4:$C$4</definedName>
    <definedName name="_xlnm._FilterDatabase" localSheetId="5" hidden="1">ELI!$A$2:$L$2</definedName>
    <definedName name="_xlnm._FilterDatabase" localSheetId="14" hidden="1">'ELIAS LEVY'!$A$2:$O$2</definedName>
    <definedName name="_xlnm._FilterDatabase" localSheetId="6" hidden="1">HHB!$A$2:$M$12</definedName>
    <definedName name="_xlnm._FilterDatabase" localSheetId="51" hidden="1">Hoja1!$A$2:$J$6</definedName>
    <definedName name="_xlnm._FilterDatabase" localSheetId="4" hidden="1">IHE!$A$2:$N$2</definedName>
    <definedName name="_xlnm._FilterDatabase" localSheetId="13" hidden="1">'IMPORT ONE'!$A$2:$N$8</definedName>
    <definedName name="_xlnm._FilterDatabase" localSheetId="1" hidden="1">JM!$A$2:$L$2</definedName>
    <definedName name="_xlnm._FilterDatabase" localSheetId="36" hidden="1">LUCK!$A$2:$O$46</definedName>
    <definedName name="_xlnm._FilterDatabase" localSheetId="8" hidden="1">MAN!$A$2:$O$32</definedName>
    <definedName name="_xlnm._FilterDatabase" localSheetId="3" hidden="1">NUDU!$A$2:$J$6</definedName>
    <definedName name="_xlnm._FilterDatabase" localSheetId="50" hidden="1">PAGOS!$A$2:$E$124</definedName>
    <definedName name="_xlnm._FilterDatabase" localSheetId="2" hidden="1">AB!$A$2:$N$2</definedName>
    <definedName name="_xlnm._FilterDatabase" localSheetId="18" hidden="1">'SALOMON JASQUI'!$A$2:$O$241</definedName>
    <definedName name="_xlnm._FilterDatabase" localSheetId="9" hidden="1">YOSEF!$A$2:$O$273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61" l="1"/>
  <c r="J7" i="58"/>
  <c r="J6" i="58"/>
  <c r="L235" i="17"/>
  <c r="O229" i="17"/>
  <c r="O230" i="17"/>
  <c r="O231" i="17"/>
  <c r="O232" i="17"/>
  <c r="O233" i="17"/>
  <c r="O234" i="17"/>
  <c r="O235" i="17"/>
  <c r="O236" i="17"/>
  <c r="O237" i="17"/>
  <c r="O238" i="17"/>
  <c r="O239" i="17"/>
  <c r="O240" i="17"/>
  <c r="O227" i="17"/>
  <c r="M192" i="4"/>
  <c r="N123" i="11"/>
  <c r="M201" i="4"/>
  <c r="N201" i="4" s="1"/>
  <c r="M166" i="4"/>
  <c r="N166" i="4"/>
  <c r="J99" i="4"/>
  <c r="O84" i="17"/>
  <c r="O1" i="9"/>
  <c r="J108" i="4"/>
  <c r="M241" i="17"/>
  <c r="N241" i="17"/>
  <c r="N264" i="11"/>
  <c r="O264" i="11"/>
  <c r="N265" i="11"/>
  <c r="O265" i="11"/>
  <c r="N266" i="11"/>
  <c r="O266" i="11"/>
  <c r="N267" i="11"/>
  <c r="O267" i="11"/>
  <c r="N268" i="11"/>
  <c r="O268" i="11"/>
  <c r="N269" i="11"/>
  <c r="O269" i="11"/>
  <c r="N270" i="11"/>
  <c r="O270" i="11"/>
  <c r="N271" i="11"/>
  <c r="O271" i="11"/>
  <c r="N272" i="11"/>
  <c r="O272" i="11"/>
  <c r="N273" i="11"/>
  <c r="O273" i="11"/>
  <c r="M25" i="66"/>
  <c r="M198" i="4"/>
  <c r="N198" i="4" s="1"/>
  <c r="M199" i="4"/>
  <c r="N199" i="4" s="1"/>
  <c r="M200" i="4"/>
  <c r="N200" i="4" s="1"/>
  <c r="C22" i="13"/>
  <c r="N1" i="80"/>
  <c r="L3" i="80"/>
  <c r="M3" i="80"/>
  <c r="N263" i="11"/>
  <c r="O263" i="11"/>
  <c r="N60" i="37"/>
  <c r="O60" i="37"/>
  <c r="L8" i="69"/>
  <c r="M8" i="69" s="1"/>
  <c r="L9" i="69"/>
  <c r="M9" i="69" s="1"/>
  <c r="L10" i="69"/>
  <c r="M10" i="69"/>
  <c r="L11" i="69"/>
  <c r="M11" i="69"/>
  <c r="L18" i="58"/>
  <c r="M18" i="58"/>
  <c r="L4" i="75"/>
  <c r="M4" i="75" s="1"/>
  <c r="N13" i="7" l="1"/>
  <c r="N12" i="7"/>
  <c r="N1" i="7"/>
  <c r="N56" i="37"/>
  <c r="O56" i="37" s="1"/>
  <c r="N57" i="37"/>
  <c r="O57" i="37" s="1"/>
  <c r="N58" i="37"/>
  <c r="O58" i="37" s="1"/>
  <c r="N59" i="37"/>
  <c r="O59" i="37" s="1"/>
  <c r="P1" i="8"/>
  <c r="C40" i="13"/>
  <c r="C13" i="13"/>
  <c r="M12" i="79"/>
  <c r="N12" i="79" s="1"/>
  <c r="M11" i="79"/>
  <c r="N11" i="79" s="1"/>
  <c r="M10" i="79"/>
  <c r="N10" i="79" s="1"/>
  <c r="M9" i="79"/>
  <c r="N9" i="79" s="1"/>
  <c r="M8" i="79"/>
  <c r="N8" i="79" s="1"/>
  <c r="M7" i="79"/>
  <c r="N7" i="79" s="1"/>
  <c r="M6" i="79"/>
  <c r="N6" i="79" s="1"/>
  <c r="M5" i="79"/>
  <c r="N5" i="79" s="1"/>
  <c r="M4" i="79"/>
  <c r="N4" i="79" s="1"/>
  <c r="M3" i="79"/>
  <c r="N3" i="79" s="1"/>
  <c r="M4" i="78"/>
  <c r="M3" i="78"/>
  <c r="N262" i="11"/>
  <c r="O262" i="11" s="1"/>
  <c r="N261" i="11"/>
  <c r="O261" i="11" s="1"/>
  <c r="N260" i="11"/>
  <c r="O260" i="11" s="1"/>
  <c r="N259" i="11"/>
  <c r="O259" i="11" s="1"/>
  <c r="N258" i="11"/>
  <c r="O258" i="11" s="1"/>
  <c r="N257" i="11"/>
  <c r="O257" i="11" s="1"/>
  <c r="N256" i="11"/>
  <c r="O256" i="11" s="1"/>
  <c r="N255" i="11"/>
  <c r="O255" i="11" s="1"/>
  <c r="N254" i="11"/>
  <c r="O254" i="11" s="1"/>
  <c r="N253" i="11"/>
  <c r="O253" i="11" s="1"/>
  <c r="N252" i="11"/>
  <c r="O252" i="11" s="1"/>
  <c r="N251" i="11"/>
  <c r="O251" i="11" s="1"/>
  <c r="N250" i="11"/>
  <c r="O250" i="11" s="1"/>
  <c r="N249" i="11"/>
  <c r="O249" i="11" s="1"/>
  <c r="O18" i="8"/>
  <c r="P18" i="8" s="1"/>
  <c r="M24" i="66"/>
  <c r="M23" i="66"/>
  <c r="M197" i="4"/>
  <c r="N197" i="4" s="1"/>
  <c r="M196" i="4"/>
  <c r="N196" i="4" s="1"/>
  <c r="M195" i="4"/>
  <c r="N195" i="4" s="1"/>
  <c r="M194" i="4"/>
  <c r="N194" i="4" s="1"/>
  <c r="M193" i="4"/>
  <c r="N193" i="4" s="1"/>
  <c r="N192" i="4"/>
  <c r="M191" i="4"/>
  <c r="N191" i="4" s="1"/>
  <c r="M190" i="4"/>
  <c r="N190" i="4" s="1"/>
  <c r="M189" i="4"/>
  <c r="N189" i="4" s="1"/>
  <c r="M188" i="4"/>
  <c r="N188" i="4" s="1"/>
  <c r="M187" i="4"/>
  <c r="N187" i="4" s="1"/>
  <c r="M186" i="4"/>
  <c r="N186" i="4" s="1"/>
  <c r="M185" i="4"/>
  <c r="N185" i="4" s="1"/>
  <c r="L9" i="71"/>
  <c r="M9" i="71" s="1"/>
  <c r="N46" i="60"/>
  <c r="O46" i="60" s="1"/>
  <c r="N53" i="37"/>
  <c r="O53" i="37" s="1"/>
  <c r="N55" i="37"/>
  <c r="O55" i="37" s="1"/>
  <c r="N54" i="37"/>
  <c r="O54" i="37" s="1"/>
  <c r="L7" i="76"/>
  <c r="M7" i="76" s="1"/>
  <c r="L6" i="76"/>
  <c r="M6" i="76" s="1"/>
  <c r="L5" i="76"/>
  <c r="M5" i="76" s="1"/>
  <c r="L4" i="76"/>
  <c r="M4" i="76" s="1"/>
  <c r="L3" i="76"/>
  <c r="M3" i="76" s="1"/>
  <c r="L3" i="75"/>
  <c r="M3" i="75" s="1"/>
  <c r="N1" i="75" s="1"/>
  <c r="C24" i="13" s="1"/>
  <c r="O1" i="79" l="1"/>
  <c r="O1" i="78"/>
  <c r="N1" i="76"/>
  <c r="C17" i="13" s="1"/>
  <c r="M4" i="69" l="1"/>
  <c r="N248" i="11"/>
  <c r="O248" i="11"/>
  <c r="N247" i="11"/>
  <c r="O247" i="11"/>
  <c r="N246" i="11"/>
  <c r="O246" i="11"/>
  <c r="N245" i="11"/>
  <c r="O245" i="11"/>
  <c r="N244" i="11"/>
  <c r="O244" i="11"/>
  <c r="N243" i="11"/>
  <c r="O243" i="11" s="1"/>
  <c r="N242" i="11"/>
  <c r="O242" i="11"/>
  <c r="N241" i="11"/>
  <c r="O241" i="11"/>
  <c r="N240" i="11"/>
  <c r="O240" i="11"/>
  <c r="O228" i="17"/>
  <c r="O226" i="17"/>
  <c r="O225" i="17"/>
  <c r="O224" i="17"/>
  <c r="O223" i="17"/>
  <c r="M22" i="66"/>
  <c r="N1" i="66"/>
  <c r="C14" i="13" s="1"/>
  <c r="M184" i="4"/>
  <c r="N184" i="4"/>
  <c r="M183" i="4"/>
  <c r="N183" i="4"/>
  <c r="M182" i="4"/>
  <c r="N182" i="4"/>
  <c r="M181" i="4"/>
  <c r="N181" i="4"/>
  <c r="M180" i="4"/>
  <c r="N180" i="4"/>
  <c r="M179" i="4"/>
  <c r="N179" i="4"/>
  <c r="M178" i="4"/>
  <c r="N178" i="4"/>
  <c r="M177" i="4"/>
  <c r="N177" i="4"/>
  <c r="M4" i="63"/>
  <c r="N4" i="63" s="1"/>
  <c r="M3" i="63"/>
  <c r="N3" i="63" s="1"/>
  <c r="O1" i="63" s="1"/>
  <c r="C21" i="13" s="1"/>
  <c r="L17" i="58"/>
  <c r="M17" i="58"/>
  <c r="L7" i="69"/>
  <c r="M7" i="69"/>
  <c r="L6" i="69"/>
  <c r="M6" i="69"/>
  <c r="L5" i="69"/>
  <c r="M5" i="69"/>
  <c r="L4" i="69"/>
  <c r="N7" i="70"/>
  <c r="P1" i="70"/>
  <c r="P1" i="59"/>
  <c r="N239" i="11"/>
  <c r="O239" i="11" s="1"/>
  <c r="N238" i="11"/>
  <c r="O238" i="11"/>
  <c r="N237" i="11"/>
  <c r="O237" i="11"/>
  <c r="N236" i="11"/>
  <c r="O236" i="11"/>
  <c r="N235" i="11"/>
  <c r="O235" i="11"/>
  <c r="N234" i="11"/>
  <c r="O234" i="11"/>
  <c r="N233" i="11"/>
  <c r="O233" i="11"/>
  <c r="N232" i="11"/>
  <c r="O232" i="11"/>
  <c r="N231" i="11"/>
  <c r="O231" i="11"/>
  <c r="N230" i="11"/>
  <c r="O230" i="11"/>
  <c r="N229" i="11"/>
  <c r="O229" i="11"/>
  <c r="N228" i="11"/>
  <c r="O228" i="11"/>
  <c r="N227" i="11"/>
  <c r="O227" i="11"/>
  <c r="O222" i="17"/>
  <c r="L194" i="17"/>
  <c r="L241" i="17" s="1"/>
  <c r="O221" i="17"/>
  <c r="O220" i="17"/>
  <c r="O219" i="17"/>
  <c r="O218" i="17"/>
  <c r="O217" i="17"/>
  <c r="O216" i="17"/>
  <c r="O215" i="17"/>
  <c r="O214" i="17"/>
  <c r="O213" i="17"/>
  <c r="O212" i="17"/>
  <c r="O211" i="17"/>
  <c r="O210" i="17"/>
  <c r="M21" i="66"/>
  <c r="M20" i="66"/>
  <c r="M176" i="4"/>
  <c r="N176" i="4"/>
  <c r="M175" i="4"/>
  <c r="N175" i="4"/>
  <c r="M174" i="4"/>
  <c r="N174" i="4"/>
  <c r="M173" i="4"/>
  <c r="N173" i="4"/>
  <c r="M172" i="4"/>
  <c r="N172" i="4"/>
  <c r="M171" i="4"/>
  <c r="N171" i="4"/>
  <c r="M170" i="4"/>
  <c r="N170" i="4"/>
  <c r="M169" i="4"/>
  <c r="N169" i="4"/>
  <c r="M168" i="4"/>
  <c r="N168" i="4"/>
  <c r="M167" i="4"/>
  <c r="N167" i="4"/>
  <c r="N66" i="50"/>
  <c r="O66" i="50"/>
  <c r="N65" i="50"/>
  <c r="O65" i="50"/>
  <c r="N64" i="50"/>
  <c r="O64" i="50"/>
  <c r="N16" i="59"/>
  <c r="N15" i="59"/>
  <c r="N27" i="25"/>
  <c r="N226" i="11"/>
  <c r="O226" i="11"/>
  <c r="N45" i="60"/>
  <c r="O45" i="60" s="1"/>
  <c r="N44" i="60"/>
  <c r="O44" i="60" s="1"/>
  <c r="N42" i="60"/>
  <c r="O42" i="60" s="1"/>
  <c r="N40" i="60"/>
  <c r="O40" i="60" s="1"/>
  <c r="N39" i="60"/>
  <c r="O39" i="60" s="1"/>
  <c r="N52" i="37"/>
  <c r="O52" i="37"/>
  <c r="N51" i="37"/>
  <c r="O51" i="37"/>
  <c r="O46" i="9"/>
  <c r="O45" i="9"/>
  <c r="N10" i="59"/>
  <c r="N12" i="59"/>
  <c r="N13" i="59"/>
  <c r="N11" i="59"/>
  <c r="N14" i="59"/>
  <c r="N9" i="59"/>
  <c r="O38" i="9"/>
  <c r="O44" i="9"/>
  <c r="W4" i="60"/>
  <c r="W5" i="60"/>
  <c r="W6" i="60"/>
  <c r="W7" i="60"/>
  <c r="W8" i="60"/>
  <c r="W9" i="60"/>
  <c r="W10" i="60"/>
  <c r="W11" i="60"/>
  <c r="W12" i="60"/>
  <c r="W13" i="60"/>
  <c r="W14" i="60"/>
  <c r="W15" i="60"/>
  <c r="W16" i="60"/>
  <c r="W17" i="60"/>
  <c r="W18" i="60"/>
  <c r="W19" i="60"/>
  <c r="W20" i="60"/>
  <c r="W21" i="60"/>
  <c r="W22" i="60"/>
  <c r="W23" i="60"/>
  <c r="W24" i="60"/>
  <c r="W25" i="60"/>
  <c r="W26" i="60"/>
  <c r="W27" i="60"/>
  <c r="W28" i="60"/>
  <c r="W29" i="60"/>
  <c r="W30" i="60"/>
  <c r="W31" i="60"/>
  <c r="W32" i="60"/>
  <c r="W33" i="60"/>
  <c r="W34" i="60"/>
  <c r="W35" i="60"/>
  <c r="W36" i="60"/>
  <c r="W37" i="60"/>
  <c r="W38" i="60"/>
  <c r="W39" i="60"/>
  <c r="W40" i="60"/>
  <c r="W41" i="60"/>
  <c r="W42" i="60"/>
  <c r="W43" i="60"/>
  <c r="W44" i="60"/>
  <c r="W45" i="60"/>
  <c r="W46" i="60"/>
  <c r="W47" i="60"/>
  <c r="W48" i="60"/>
  <c r="W49" i="60"/>
  <c r="W50" i="60"/>
  <c r="W51" i="60"/>
  <c r="W52" i="60"/>
  <c r="W53" i="60"/>
  <c r="W54" i="60"/>
  <c r="W55" i="60"/>
  <c r="W56" i="60"/>
  <c r="W57" i="60"/>
  <c r="W58" i="60"/>
  <c r="W59" i="60"/>
  <c r="W60" i="60"/>
  <c r="W61" i="60"/>
  <c r="W62" i="60"/>
  <c r="W63" i="60"/>
  <c r="W64" i="60"/>
  <c r="W65" i="60"/>
  <c r="W66" i="60"/>
  <c r="W67" i="60"/>
  <c r="W68" i="60"/>
  <c r="W69" i="60"/>
  <c r="W70" i="60"/>
  <c r="W71" i="60"/>
  <c r="W72" i="60"/>
  <c r="W73" i="60"/>
  <c r="W74" i="60"/>
  <c r="W75" i="60"/>
  <c r="W76" i="60"/>
  <c r="W77" i="60"/>
  <c r="W78" i="60"/>
  <c r="W79" i="60"/>
  <c r="W80" i="60"/>
  <c r="W81" i="60"/>
  <c r="W82" i="60"/>
  <c r="W83" i="60"/>
  <c r="W84" i="60"/>
  <c r="W85" i="60"/>
  <c r="W86" i="60"/>
  <c r="W87" i="60"/>
  <c r="W88" i="60"/>
  <c r="W89" i="60"/>
  <c r="W90" i="60"/>
  <c r="W91" i="60"/>
  <c r="W92" i="60"/>
  <c r="W93" i="60"/>
  <c r="W94" i="60"/>
  <c r="W95" i="60"/>
  <c r="W96" i="60"/>
  <c r="W97" i="60"/>
  <c r="W98" i="60"/>
  <c r="W99" i="60"/>
  <c r="W100" i="60"/>
  <c r="W101" i="60"/>
  <c r="W102" i="60"/>
  <c r="W103" i="60"/>
  <c r="W104" i="60"/>
  <c r="W105" i="60"/>
  <c r="W106" i="60"/>
  <c r="W107" i="60"/>
  <c r="W108" i="60"/>
  <c r="W109" i="60"/>
  <c r="W110" i="60"/>
  <c r="W111" i="60"/>
  <c r="W112" i="60"/>
  <c r="W113" i="60"/>
  <c r="W114" i="60"/>
  <c r="W115" i="60"/>
  <c r="W116" i="60"/>
  <c r="W117" i="60"/>
  <c r="W118" i="60"/>
  <c r="W119" i="60"/>
  <c r="W120" i="60"/>
  <c r="W121" i="60"/>
  <c r="W122" i="60"/>
  <c r="W123" i="60"/>
  <c r="W124" i="60"/>
  <c r="W125" i="60"/>
  <c r="W126" i="60"/>
  <c r="W127" i="60"/>
  <c r="W128" i="60"/>
  <c r="W129" i="60"/>
  <c r="W130" i="60"/>
  <c r="W131" i="60"/>
  <c r="W132" i="60"/>
  <c r="W133" i="60"/>
  <c r="W134" i="60"/>
  <c r="W135" i="60"/>
  <c r="W136" i="60"/>
  <c r="W137" i="60"/>
  <c r="W138" i="60"/>
  <c r="W139" i="60"/>
  <c r="W140" i="60"/>
  <c r="W141" i="60"/>
  <c r="W142" i="60"/>
  <c r="W143" i="60"/>
  <c r="W144" i="60"/>
  <c r="W145" i="60"/>
  <c r="W146" i="60"/>
  <c r="W147" i="60"/>
  <c r="W148" i="60"/>
  <c r="W149" i="60"/>
  <c r="W150" i="60"/>
  <c r="W151" i="60"/>
  <c r="W152" i="60"/>
  <c r="W153" i="60"/>
  <c r="W154" i="60"/>
  <c r="W155" i="60"/>
  <c r="W156" i="60"/>
  <c r="W157" i="60"/>
  <c r="W158" i="60"/>
  <c r="W159" i="60"/>
  <c r="W160" i="60"/>
  <c r="W161" i="60"/>
  <c r="W162" i="60"/>
  <c r="W163" i="60"/>
  <c r="W164" i="60"/>
  <c r="W165" i="60"/>
  <c r="W166" i="60"/>
  <c r="W167" i="60"/>
  <c r="W168" i="60"/>
  <c r="W169" i="60"/>
  <c r="W170" i="60"/>
  <c r="W171" i="60"/>
  <c r="W172" i="60"/>
  <c r="W173" i="60"/>
  <c r="W174" i="60"/>
  <c r="W175" i="60"/>
  <c r="W176" i="60"/>
  <c r="W177" i="60"/>
  <c r="W178" i="60"/>
  <c r="W179" i="60"/>
  <c r="W180" i="60"/>
  <c r="W181" i="60"/>
  <c r="W182" i="60"/>
  <c r="W183" i="60"/>
  <c r="W184" i="60"/>
  <c r="W185" i="60"/>
  <c r="W186" i="60"/>
  <c r="W187" i="60"/>
  <c r="W188" i="60"/>
  <c r="W189" i="60"/>
  <c r="W190" i="60"/>
  <c r="W191" i="60"/>
  <c r="W192" i="60"/>
  <c r="W193" i="60"/>
  <c r="W194" i="60"/>
  <c r="W195" i="60"/>
  <c r="W196" i="60"/>
  <c r="W197" i="60"/>
  <c r="W198" i="60"/>
  <c r="W199" i="60"/>
  <c r="W200" i="60"/>
  <c r="W201" i="60"/>
  <c r="W202" i="60"/>
  <c r="W203" i="60"/>
  <c r="W204" i="60"/>
  <c r="W205" i="60"/>
  <c r="W206" i="60"/>
  <c r="W207" i="60"/>
  <c r="W208" i="60"/>
  <c r="W209" i="60"/>
  <c r="W210" i="60"/>
  <c r="W211" i="60"/>
  <c r="W212" i="60"/>
  <c r="W213" i="60"/>
  <c r="W214" i="60"/>
  <c r="W215" i="60"/>
  <c r="W216" i="60"/>
  <c r="W217" i="60"/>
  <c r="W218" i="60"/>
  <c r="W219" i="60"/>
  <c r="W220" i="60"/>
  <c r="W221" i="60"/>
  <c r="W222" i="60"/>
  <c r="W223" i="60"/>
  <c r="W224" i="60"/>
  <c r="W225" i="60"/>
  <c r="W226" i="60"/>
  <c r="W227" i="60"/>
  <c r="W228" i="60"/>
  <c r="W229" i="60"/>
  <c r="W230" i="60"/>
  <c r="W231" i="60"/>
  <c r="W232" i="60"/>
  <c r="W233" i="60"/>
  <c r="W234" i="60"/>
  <c r="W235" i="60"/>
  <c r="W236" i="60"/>
  <c r="W237" i="60"/>
  <c r="W238" i="60"/>
  <c r="W239" i="60"/>
  <c r="W240" i="60"/>
  <c r="W241" i="60"/>
  <c r="W242" i="60"/>
  <c r="W243" i="60"/>
  <c r="W244" i="60"/>
  <c r="W245" i="60"/>
  <c r="W246" i="60"/>
  <c r="W247" i="60"/>
  <c r="W248" i="60"/>
  <c r="W249" i="60"/>
  <c r="W250" i="60"/>
  <c r="W251" i="60"/>
  <c r="W252" i="60"/>
  <c r="W253" i="60"/>
  <c r="W254" i="60"/>
  <c r="W255" i="60"/>
  <c r="W256" i="60"/>
  <c r="W257" i="60"/>
  <c r="W258" i="60"/>
  <c r="W259" i="60"/>
  <c r="W260" i="60"/>
  <c r="W261" i="60"/>
  <c r="W262" i="60"/>
  <c r="W263" i="60"/>
  <c r="W264" i="60"/>
  <c r="W265" i="60"/>
  <c r="W266" i="60"/>
  <c r="W267" i="60"/>
  <c r="W268" i="60"/>
  <c r="W269" i="60"/>
  <c r="W270" i="60"/>
  <c r="W271" i="60"/>
  <c r="W272" i="60"/>
  <c r="W273" i="60"/>
  <c r="W274" i="60"/>
  <c r="W275" i="60"/>
  <c r="W276" i="60"/>
  <c r="W277" i="60"/>
  <c r="W278" i="60"/>
  <c r="W279" i="60"/>
  <c r="W280" i="60"/>
  <c r="W281" i="60"/>
  <c r="W282" i="60"/>
  <c r="W283" i="60"/>
  <c r="W284" i="60"/>
  <c r="W285" i="60"/>
  <c r="W286" i="60"/>
  <c r="W287" i="60"/>
  <c r="W288" i="60"/>
  <c r="W289" i="60"/>
  <c r="W290" i="60"/>
  <c r="W291" i="60"/>
  <c r="W292" i="60"/>
  <c r="W293" i="60"/>
  <c r="W294" i="60"/>
  <c r="W295" i="60"/>
  <c r="W296" i="60"/>
  <c r="W297" i="60"/>
  <c r="W298" i="60"/>
  <c r="W299" i="60"/>
  <c r="W300" i="60"/>
  <c r="W301" i="60"/>
  <c r="W302" i="60"/>
  <c r="W303" i="60"/>
  <c r="W304" i="60"/>
  <c r="W305" i="60"/>
  <c r="W306" i="60"/>
  <c r="W307" i="60"/>
  <c r="W308" i="60"/>
  <c r="W309" i="60"/>
  <c r="W310" i="60"/>
  <c r="W311" i="60"/>
  <c r="W312" i="60"/>
  <c r="W313" i="60"/>
  <c r="W314" i="60"/>
  <c r="W315" i="60"/>
  <c r="W316" i="60"/>
  <c r="W317" i="60"/>
  <c r="W318" i="60"/>
  <c r="W319" i="60"/>
  <c r="W320" i="60"/>
  <c r="W321" i="60"/>
  <c r="W322" i="60"/>
  <c r="W323" i="60"/>
  <c r="W324" i="60"/>
  <c r="W325" i="60"/>
  <c r="W326" i="60"/>
  <c r="W327" i="60"/>
  <c r="W328" i="60"/>
  <c r="W329" i="60"/>
  <c r="W330" i="60"/>
  <c r="W331" i="60"/>
  <c r="W332" i="60"/>
  <c r="W333" i="60"/>
  <c r="W334" i="60"/>
  <c r="W335" i="60"/>
  <c r="W336" i="60"/>
  <c r="W337" i="60"/>
  <c r="W338" i="60"/>
  <c r="W339" i="60"/>
  <c r="W340" i="60"/>
  <c r="W341" i="60"/>
  <c r="W342" i="60"/>
  <c r="W343" i="60"/>
  <c r="W344" i="60"/>
  <c r="W345" i="60"/>
  <c r="W346" i="60"/>
  <c r="W347" i="60"/>
  <c r="W348" i="60"/>
  <c r="W349" i="60"/>
  <c r="W350" i="60"/>
  <c r="W351" i="60"/>
  <c r="W352" i="60"/>
  <c r="W353" i="60"/>
  <c r="W354" i="60"/>
  <c r="W355" i="60"/>
  <c r="W356" i="60"/>
  <c r="W357" i="60"/>
  <c r="W358" i="60"/>
  <c r="W359" i="60"/>
  <c r="W360" i="60"/>
  <c r="W361" i="60"/>
  <c r="W362" i="60"/>
  <c r="W363" i="60"/>
  <c r="W364" i="60"/>
  <c r="W365" i="60"/>
  <c r="W366" i="60"/>
  <c r="W367" i="60"/>
  <c r="W368" i="60"/>
  <c r="W369" i="60"/>
  <c r="W370" i="60"/>
  <c r="W371" i="60"/>
  <c r="W372" i="60"/>
  <c r="W373" i="60"/>
  <c r="W374" i="60"/>
  <c r="W375" i="60"/>
  <c r="W376" i="60"/>
  <c r="W377" i="60"/>
  <c r="W378" i="60"/>
  <c r="W379" i="60"/>
  <c r="W380" i="60"/>
  <c r="W381" i="60"/>
  <c r="W382" i="60"/>
  <c r="W383" i="60"/>
  <c r="W384" i="60"/>
  <c r="W385" i="60"/>
  <c r="W386" i="60"/>
  <c r="W387" i="60"/>
  <c r="W388" i="60"/>
  <c r="W389" i="60"/>
  <c r="W390" i="60"/>
  <c r="W391" i="60"/>
  <c r="W392" i="60"/>
  <c r="W393" i="60"/>
  <c r="W394" i="60"/>
  <c r="W395" i="60"/>
  <c r="W396" i="60"/>
  <c r="W397" i="60"/>
  <c r="W398" i="60"/>
  <c r="W399" i="60"/>
  <c r="W400" i="60"/>
  <c r="W401" i="60"/>
  <c r="W402" i="60"/>
  <c r="W403" i="60"/>
  <c r="W404" i="60"/>
  <c r="W405" i="60"/>
  <c r="W406" i="60"/>
  <c r="W407" i="60"/>
  <c r="W408" i="60"/>
  <c r="W409" i="60"/>
  <c r="W410" i="60"/>
  <c r="W411" i="60"/>
  <c r="W412" i="60"/>
  <c r="W413" i="60"/>
  <c r="W414" i="60"/>
  <c r="W415" i="60"/>
  <c r="W416" i="60"/>
  <c r="W417" i="60"/>
  <c r="W418" i="60"/>
  <c r="W419" i="60"/>
  <c r="W420" i="60"/>
  <c r="W421" i="60"/>
  <c r="W422" i="60"/>
  <c r="W423" i="60"/>
  <c r="W424" i="60"/>
  <c r="W425" i="60"/>
  <c r="W426" i="60"/>
  <c r="W427" i="60"/>
  <c r="W428" i="60"/>
  <c r="W429" i="60"/>
  <c r="W430" i="60"/>
  <c r="W431" i="60"/>
  <c r="W432" i="60"/>
  <c r="W433" i="60"/>
  <c r="W434" i="60"/>
  <c r="W435" i="60"/>
  <c r="W436" i="60"/>
  <c r="W437" i="60"/>
  <c r="W438" i="60"/>
  <c r="W439" i="60"/>
  <c r="W440" i="60"/>
  <c r="W441" i="60"/>
  <c r="W442" i="60"/>
  <c r="W443" i="60"/>
  <c r="W444" i="60"/>
  <c r="W445" i="60"/>
  <c r="W446" i="60"/>
  <c r="W447" i="60"/>
  <c r="W448" i="60"/>
  <c r="W449" i="60"/>
  <c r="W450" i="60"/>
  <c r="W451" i="60"/>
  <c r="W452" i="60"/>
  <c r="W453" i="60"/>
  <c r="W454" i="60"/>
  <c r="W455" i="60"/>
  <c r="W456" i="60"/>
  <c r="W457" i="60"/>
  <c r="W458" i="60"/>
  <c r="W459" i="60"/>
  <c r="W460" i="60"/>
  <c r="W461" i="60"/>
  <c r="W462" i="60"/>
  <c r="W463" i="60"/>
  <c r="W464" i="60"/>
  <c r="W465" i="60"/>
  <c r="W466" i="60"/>
  <c r="W467" i="60"/>
  <c r="W468" i="60"/>
  <c r="W469" i="60"/>
  <c r="W470" i="60"/>
  <c r="W471" i="60"/>
  <c r="W472" i="60"/>
  <c r="W473" i="60"/>
  <c r="W474" i="60"/>
  <c r="W475" i="60"/>
  <c r="W476" i="60"/>
  <c r="W477" i="60"/>
  <c r="W478" i="60"/>
  <c r="W479" i="60"/>
  <c r="W480" i="60"/>
  <c r="W481" i="60"/>
  <c r="W482" i="60"/>
  <c r="W483" i="60"/>
  <c r="W484" i="60"/>
  <c r="W485" i="60"/>
  <c r="W486" i="60"/>
  <c r="W487" i="60"/>
  <c r="W488" i="60"/>
  <c r="W489" i="60"/>
  <c r="W490" i="60"/>
  <c r="W491" i="60"/>
  <c r="W492" i="60"/>
  <c r="W493" i="60"/>
  <c r="W494" i="60"/>
  <c r="W495" i="60"/>
  <c r="W496" i="60"/>
  <c r="W497" i="60"/>
  <c r="W498" i="60"/>
  <c r="W499" i="60"/>
  <c r="W500" i="60"/>
  <c r="W501" i="60"/>
  <c r="W502" i="60"/>
  <c r="W503" i="60"/>
  <c r="W504" i="60"/>
  <c r="W505" i="60"/>
  <c r="W506" i="60"/>
  <c r="W507" i="60"/>
  <c r="W508" i="60"/>
  <c r="W509" i="60"/>
  <c r="W510" i="60"/>
  <c r="W511" i="60"/>
  <c r="W512" i="60"/>
  <c r="W513" i="60"/>
  <c r="W514" i="60"/>
  <c r="W515" i="60"/>
  <c r="W516" i="60"/>
  <c r="W517" i="60"/>
  <c r="W518" i="60"/>
  <c r="W519" i="60"/>
  <c r="W520" i="60"/>
  <c r="W521" i="60"/>
  <c r="W522" i="60"/>
  <c r="W523" i="60"/>
  <c r="W524" i="60"/>
  <c r="W525" i="60"/>
  <c r="W526" i="60"/>
  <c r="W527" i="60"/>
  <c r="W528" i="60"/>
  <c r="W529" i="60"/>
  <c r="W530" i="60"/>
  <c r="W531" i="60"/>
  <c r="W532" i="60"/>
  <c r="W533" i="60"/>
  <c r="W534" i="60"/>
  <c r="W535" i="60"/>
  <c r="W536" i="60"/>
  <c r="W537" i="60"/>
  <c r="W538" i="60"/>
  <c r="W539" i="60"/>
  <c r="W540" i="60"/>
  <c r="W541" i="60"/>
  <c r="W542" i="60"/>
  <c r="W543" i="60"/>
  <c r="W544" i="60"/>
  <c r="W545" i="60"/>
  <c r="W546" i="60"/>
  <c r="W547" i="60"/>
  <c r="W548" i="60"/>
  <c r="W549" i="60"/>
  <c r="W550" i="60"/>
  <c r="W551" i="60"/>
  <c r="W552" i="60"/>
  <c r="W553" i="60"/>
  <c r="W554" i="60"/>
  <c r="W555" i="60"/>
  <c r="W556" i="60"/>
  <c r="W557" i="60"/>
  <c r="W558" i="60"/>
  <c r="W559" i="60"/>
  <c r="W560" i="60"/>
  <c r="W561" i="60"/>
  <c r="W562" i="60"/>
  <c r="W563" i="60"/>
  <c r="W564" i="60"/>
  <c r="W565" i="60"/>
  <c r="W566" i="60"/>
  <c r="W567" i="60"/>
  <c r="W568" i="60"/>
  <c r="W569" i="60"/>
  <c r="W570" i="60"/>
  <c r="W571" i="60"/>
  <c r="W572" i="60"/>
  <c r="W573" i="60"/>
  <c r="W574" i="60"/>
  <c r="W575" i="60"/>
  <c r="W576" i="60"/>
  <c r="W577" i="60"/>
  <c r="W578" i="60"/>
  <c r="W579" i="60"/>
  <c r="W580" i="60"/>
  <c r="W581" i="60"/>
  <c r="W582" i="60"/>
  <c r="W583" i="60"/>
  <c r="W584" i="60"/>
  <c r="W585" i="60"/>
  <c r="W586" i="60"/>
  <c r="W587" i="60"/>
  <c r="W588" i="60"/>
  <c r="W589" i="60"/>
  <c r="W590" i="60"/>
  <c r="W591" i="60"/>
  <c r="W592" i="60"/>
  <c r="W593" i="60"/>
  <c r="W594" i="60"/>
  <c r="W595" i="60"/>
  <c r="W596" i="60"/>
  <c r="W597" i="60"/>
  <c r="W598" i="60"/>
  <c r="W599" i="60"/>
  <c r="W600" i="60"/>
  <c r="W601" i="60"/>
  <c r="W602" i="60"/>
  <c r="W603" i="60"/>
  <c r="W604" i="60"/>
  <c r="W605" i="60"/>
  <c r="W606" i="60"/>
  <c r="W607" i="60"/>
  <c r="W608" i="60"/>
  <c r="W609" i="60"/>
  <c r="W610" i="60"/>
  <c r="W611" i="60"/>
  <c r="W612" i="60"/>
  <c r="W613" i="60"/>
  <c r="W614" i="60"/>
  <c r="W615" i="60"/>
  <c r="W616" i="60"/>
  <c r="W617" i="60"/>
  <c r="W618" i="60"/>
  <c r="W619" i="60"/>
  <c r="W620" i="60"/>
  <c r="W621" i="60"/>
  <c r="W622" i="60"/>
  <c r="W623" i="60"/>
  <c r="W624" i="60"/>
  <c r="W625" i="60"/>
  <c r="W626" i="60"/>
  <c r="W627" i="60"/>
  <c r="W628" i="60"/>
  <c r="W629" i="60"/>
  <c r="W630" i="60"/>
  <c r="W631" i="60"/>
  <c r="W632" i="60"/>
  <c r="W633" i="60"/>
  <c r="W634" i="60"/>
  <c r="W635" i="60"/>
  <c r="W636" i="60"/>
  <c r="W637" i="60"/>
  <c r="W638" i="60"/>
  <c r="W639" i="60"/>
  <c r="W640" i="60"/>
  <c r="W641" i="60"/>
  <c r="W642" i="60"/>
  <c r="W643" i="60"/>
  <c r="W644" i="60"/>
  <c r="W645" i="60"/>
  <c r="W646" i="60"/>
  <c r="W647" i="60"/>
  <c r="W648" i="60"/>
  <c r="W649" i="60"/>
  <c r="W650" i="60"/>
  <c r="W651" i="60"/>
  <c r="W652" i="60"/>
  <c r="W653" i="60"/>
  <c r="W654" i="60"/>
  <c r="W655" i="60"/>
  <c r="W656" i="60"/>
  <c r="W657" i="60"/>
  <c r="W658" i="60"/>
  <c r="W659" i="60"/>
  <c r="W660" i="60"/>
  <c r="W661" i="60"/>
  <c r="W662" i="60"/>
  <c r="W663" i="60"/>
  <c r="W664" i="60"/>
  <c r="W665" i="60"/>
  <c r="W666" i="60"/>
  <c r="W667" i="60"/>
  <c r="W668" i="60"/>
  <c r="W669" i="60"/>
  <c r="W670" i="60"/>
  <c r="W671" i="60"/>
  <c r="W672" i="60"/>
  <c r="W673" i="60"/>
  <c r="W674" i="60"/>
  <c r="W675" i="60"/>
  <c r="W676" i="60"/>
  <c r="W677" i="60"/>
  <c r="W678" i="60"/>
  <c r="W679" i="60"/>
  <c r="W680" i="60"/>
  <c r="W681" i="60"/>
  <c r="W682" i="60"/>
  <c r="W683" i="60"/>
  <c r="W684" i="60"/>
  <c r="W685" i="60"/>
  <c r="W686" i="60"/>
  <c r="W687" i="60"/>
  <c r="W688" i="60"/>
  <c r="W689" i="60"/>
  <c r="W690" i="60"/>
  <c r="W691" i="60"/>
  <c r="W692" i="60"/>
  <c r="W693" i="60"/>
  <c r="W694" i="60"/>
  <c r="W695" i="60"/>
  <c r="W696" i="60"/>
  <c r="W697" i="60"/>
  <c r="W698" i="60"/>
  <c r="W699" i="60"/>
  <c r="W700" i="60"/>
  <c r="W701" i="60"/>
  <c r="W702" i="60"/>
  <c r="W703" i="60"/>
  <c r="W704" i="60"/>
  <c r="W705" i="60"/>
  <c r="W706" i="60"/>
  <c r="W707" i="60"/>
  <c r="W708" i="60"/>
  <c r="W709" i="60"/>
  <c r="W710" i="60"/>
  <c r="W711" i="60"/>
  <c r="W712" i="60"/>
  <c r="W713" i="60"/>
  <c r="W714" i="60"/>
  <c r="W715" i="60"/>
  <c r="W716" i="60"/>
  <c r="W717" i="60"/>
  <c r="W718" i="60"/>
  <c r="W719" i="60"/>
  <c r="W720" i="60"/>
  <c r="W721" i="60"/>
  <c r="W722" i="60"/>
  <c r="W723" i="60"/>
  <c r="W724" i="60"/>
  <c r="W725" i="60"/>
  <c r="W726" i="60"/>
  <c r="W727" i="60"/>
  <c r="W728" i="60"/>
  <c r="W729" i="60"/>
  <c r="W730" i="60"/>
  <c r="W731" i="60"/>
  <c r="W732" i="60"/>
  <c r="W733" i="60"/>
  <c r="W734" i="60"/>
  <c r="W735" i="60"/>
  <c r="W736" i="60"/>
  <c r="W737" i="60"/>
  <c r="W738" i="60"/>
  <c r="W739" i="60"/>
  <c r="W740" i="60"/>
  <c r="W741" i="60"/>
  <c r="W742" i="60"/>
  <c r="W743" i="60"/>
  <c r="W744" i="60"/>
  <c r="W745" i="60"/>
  <c r="W746" i="60"/>
  <c r="W747" i="60"/>
  <c r="W748" i="60"/>
  <c r="W749" i="60"/>
  <c r="W750" i="60"/>
  <c r="W751" i="60"/>
  <c r="W752" i="60"/>
  <c r="W753" i="60"/>
  <c r="W754" i="60"/>
  <c r="W755" i="60"/>
  <c r="W756" i="60"/>
  <c r="W757" i="60"/>
  <c r="W758" i="60"/>
  <c r="W759" i="60"/>
  <c r="W760" i="60"/>
  <c r="W761" i="60"/>
  <c r="W762" i="60"/>
  <c r="W763" i="60"/>
  <c r="W764" i="60"/>
  <c r="W765" i="60"/>
  <c r="W766" i="60"/>
  <c r="W767" i="60"/>
  <c r="W768" i="60"/>
  <c r="W769" i="60"/>
  <c r="W770" i="60"/>
  <c r="W771" i="60"/>
  <c r="W772" i="60"/>
  <c r="W773" i="60"/>
  <c r="W774" i="60"/>
  <c r="W775" i="60"/>
  <c r="W776" i="60"/>
  <c r="W777" i="60"/>
  <c r="W778" i="60"/>
  <c r="W779" i="60"/>
  <c r="W780" i="60"/>
  <c r="W781" i="60"/>
  <c r="W782" i="60"/>
  <c r="W783" i="60"/>
  <c r="W784" i="60"/>
  <c r="W785" i="60"/>
  <c r="W786" i="60"/>
  <c r="W787" i="60"/>
  <c r="W788" i="60"/>
  <c r="W789" i="60"/>
  <c r="W790" i="60"/>
  <c r="W791" i="60"/>
  <c r="W792" i="60"/>
  <c r="W793" i="60"/>
  <c r="W794" i="60"/>
  <c r="W795" i="60"/>
  <c r="W796" i="60"/>
  <c r="W797" i="60"/>
  <c r="W798" i="60"/>
  <c r="W799" i="60"/>
  <c r="W800" i="60"/>
  <c r="W801" i="60"/>
  <c r="W802" i="60"/>
  <c r="W803" i="60"/>
  <c r="W804" i="60"/>
  <c r="W805" i="60"/>
  <c r="W806" i="60"/>
  <c r="W807" i="60"/>
  <c r="W808" i="60"/>
  <c r="W809" i="60"/>
  <c r="W810" i="60"/>
  <c r="W811" i="60"/>
  <c r="W812" i="60"/>
  <c r="W813" i="60"/>
  <c r="W814" i="60"/>
  <c r="W815" i="60"/>
  <c r="W816" i="60"/>
  <c r="W817" i="60"/>
  <c r="W818" i="60"/>
  <c r="W819" i="60"/>
  <c r="W820" i="60"/>
  <c r="W821" i="60"/>
  <c r="W822" i="60"/>
  <c r="W823" i="60"/>
  <c r="W824" i="60"/>
  <c r="W825" i="60"/>
  <c r="W826" i="60"/>
  <c r="W827" i="60"/>
  <c r="W828" i="60"/>
  <c r="W829" i="60"/>
  <c r="W830" i="60"/>
  <c r="W831" i="60"/>
  <c r="W3" i="60"/>
  <c r="C10" i="13"/>
  <c r="K1" i="6"/>
  <c r="C28" i="13" s="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N41" i="11"/>
  <c r="N42" i="11"/>
  <c r="N43" i="11"/>
  <c r="N44" i="11"/>
  <c r="N45" i="11"/>
  <c r="N46" i="11"/>
  <c r="N47" i="11"/>
  <c r="N48" i="11"/>
  <c r="N49" i="11"/>
  <c r="N50" i="11"/>
  <c r="N51" i="11"/>
  <c r="N52" i="11"/>
  <c r="N53" i="11"/>
  <c r="N54" i="11"/>
  <c r="N55" i="11"/>
  <c r="N56" i="11"/>
  <c r="N57" i="11"/>
  <c r="N58" i="11"/>
  <c r="N59" i="11"/>
  <c r="N60" i="11"/>
  <c r="N61" i="11"/>
  <c r="N62" i="11"/>
  <c r="N63" i="11"/>
  <c r="N64" i="11"/>
  <c r="N65" i="11"/>
  <c r="N66" i="11"/>
  <c r="N67" i="11"/>
  <c r="N68" i="11"/>
  <c r="N69" i="11"/>
  <c r="N70" i="11"/>
  <c r="N71" i="11"/>
  <c r="N72" i="11"/>
  <c r="N73" i="11"/>
  <c r="N74" i="11"/>
  <c r="N75" i="11"/>
  <c r="N76" i="11"/>
  <c r="N77" i="11"/>
  <c r="N78" i="11"/>
  <c r="N79" i="11"/>
  <c r="N80" i="11"/>
  <c r="N81" i="11"/>
  <c r="N82" i="11"/>
  <c r="N83" i="11"/>
  <c r="N84" i="11"/>
  <c r="N85" i="11"/>
  <c r="N86" i="11"/>
  <c r="N87" i="11"/>
  <c r="N88" i="11"/>
  <c r="N89" i="11"/>
  <c r="N90" i="11"/>
  <c r="N91" i="11"/>
  <c r="N92" i="11"/>
  <c r="N93" i="11"/>
  <c r="N94" i="11"/>
  <c r="N95" i="11"/>
  <c r="N96" i="11"/>
  <c r="N97" i="11"/>
  <c r="N98" i="11"/>
  <c r="N99" i="11"/>
  <c r="N100" i="11"/>
  <c r="N101" i="11"/>
  <c r="N102" i="11"/>
  <c r="N103" i="11"/>
  <c r="N104" i="11"/>
  <c r="N105" i="11"/>
  <c r="N106" i="11"/>
  <c r="N107" i="11"/>
  <c r="N108" i="11"/>
  <c r="N109" i="11"/>
  <c r="N110" i="11"/>
  <c r="N111" i="11"/>
  <c r="N112" i="11"/>
  <c r="N113" i="11"/>
  <c r="N114" i="11"/>
  <c r="N115" i="11"/>
  <c r="N116" i="11"/>
  <c r="N117" i="11"/>
  <c r="N118" i="11"/>
  <c r="N119" i="11"/>
  <c r="N120" i="11"/>
  <c r="N121" i="11"/>
  <c r="N122" i="11"/>
  <c r="N124" i="11"/>
  <c r="N125" i="11"/>
  <c r="N126" i="11"/>
  <c r="N127" i="11"/>
  <c r="N128" i="11"/>
  <c r="N129" i="11"/>
  <c r="N130" i="11"/>
  <c r="N131" i="11"/>
  <c r="N132" i="11"/>
  <c r="N133" i="11"/>
  <c r="N134" i="11"/>
  <c r="N135" i="11"/>
  <c r="N136" i="11"/>
  <c r="N137" i="11"/>
  <c r="N138" i="11"/>
  <c r="N139" i="11"/>
  <c r="N140" i="11"/>
  <c r="N141" i="11"/>
  <c r="N142" i="11"/>
  <c r="N143" i="11"/>
  <c r="N144" i="11"/>
  <c r="N145" i="11"/>
  <c r="N146" i="11"/>
  <c r="N147" i="11"/>
  <c r="N148" i="11"/>
  <c r="N149" i="11"/>
  <c r="N150" i="11"/>
  <c r="N151" i="11"/>
  <c r="N152" i="11"/>
  <c r="N153" i="11"/>
  <c r="N154" i="11"/>
  <c r="N155" i="11"/>
  <c r="N156" i="11"/>
  <c r="N157" i="11"/>
  <c r="N158" i="11"/>
  <c r="N159" i="11"/>
  <c r="N160" i="11"/>
  <c r="N161" i="11"/>
  <c r="N162" i="11"/>
  <c r="N163" i="11"/>
  <c r="N164" i="11"/>
  <c r="N165" i="11"/>
  <c r="N166" i="11"/>
  <c r="N167" i="11"/>
  <c r="N168" i="11"/>
  <c r="N169" i="11"/>
  <c r="N170" i="11"/>
  <c r="N171" i="11"/>
  <c r="N172" i="11"/>
  <c r="N173" i="11"/>
  <c r="N174" i="11"/>
  <c r="N175" i="11"/>
  <c r="N176" i="11"/>
  <c r="N177" i="11"/>
  <c r="N178" i="11"/>
  <c r="N179" i="11"/>
  <c r="N180" i="11"/>
  <c r="N181" i="11"/>
  <c r="N182" i="11"/>
  <c r="N183" i="11"/>
  <c r="N184" i="11"/>
  <c r="N185" i="11"/>
  <c r="N186" i="11"/>
  <c r="N187" i="11"/>
  <c r="N188" i="11"/>
  <c r="N189" i="11"/>
  <c r="N190" i="11"/>
  <c r="N191" i="11"/>
  <c r="N192" i="11"/>
  <c r="N193" i="11"/>
  <c r="N194" i="11"/>
  <c r="N195" i="11"/>
  <c r="N196" i="11"/>
  <c r="N197" i="11"/>
  <c r="N198" i="11"/>
  <c r="N199" i="11"/>
  <c r="N200" i="11"/>
  <c r="N201" i="11"/>
  <c r="N202" i="11"/>
  <c r="N203" i="11"/>
  <c r="N204" i="11"/>
  <c r="N205" i="11"/>
  <c r="N206" i="11"/>
  <c r="N207" i="11"/>
  <c r="N208" i="11"/>
  <c r="N209" i="11"/>
  <c r="N210" i="11"/>
  <c r="N211" i="11"/>
  <c r="N212" i="11"/>
  <c r="N213" i="11"/>
  <c r="N214" i="11"/>
  <c r="N215" i="11"/>
  <c r="N216" i="11"/>
  <c r="N217" i="11"/>
  <c r="N218" i="11"/>
  <c r="N219" i="11"/>
  <c r="N220" i="11"/>
  <c r="N221" i="11"/>
  <c r="N222" i="11"/>
  <c r="N223" i="11"/>
  <c r="N224" i="11"/>
  <c r="N225" i="11"/>
  <c r="P1" i="11"/>
  <c r="C7" i="13" s="1"/>
  <c r="O3" i="17"/>
  <c r="O4" i="17"/>
  <c r="O5" i="17"/>
  <c r="O6" i="17"/>
  <c r="O7" i="17"/>
  <c r="O8" i="17"/>
  <c r="O9" i="17"/>
  <c r="O10" i="17"/>
  <c r="O11" i="17"/>
  <c r="O12" i="17"/>
  <c r="O13" i="17"/>
  <c r="O14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7" i="17"/>
  <c r="O48" i="17"/>
  <c r="O49" i="17"/>
  <c r="O46" i="17"/>
  <c r="O51" i="17"/>
  <c r="O52" i="17"/>
  <c r="O50" i="17"/>
  <c r="O54" i="17"/>
  <c r="O53" i="17"/>
  <c r="O55" i="17"/>
  <c r="O56" i="17"/>
  <c r="O57" i="17"/>
  <c r="O58" i="17"/>
  <c r="O60" i="17"/>
  <c r="O61" i="17"/>
  <c r="O62" i="17"/>
  <c r="O63" i="17"/>
  <c r="O59" i="17"/>
  <c r="O64" i="17"/>
  <c r="O68" i="17"/>
  <c r="O66" i="17"/>
  <c r="O65" i="17"/>
  <c r="O75" i="17"/>
  <c r="O76" i="17"/>
  <c r="O78" i="17"/>
  <c r="O67" i="17"/>
  <c r="O69" i="17"/>
  <c r="O70" i="17"/>
  <c r="O71" i="17"/>
  <c r="O72" i="17"/>
  <c r="O73" i="17"/>
  <c r="O74" i="17"/>
  <c r="O77" i="17"/>
  <c r="O79" i="17"/>
  <c r="O80" i="17"/>
  <c r="O135" i="17"/>
  <c r="O140" i="17"/>
  <c r="O141" i="17"/>
  <c r="O85" i="17"/>
  <c r="O86" i="17"/>
  <c r="O87" i="17"/>
  <c r="O88" i="17"/>
  <c r="O89" i="17"/>
  <c r="O90" i="17"/>
  <c r="O91" i="17"/>
  <c r="O92" i="17"/>
  <c r="O93" i="17"/>
  <c r="O94" i="17"/>
  <c r="O95" i="17"/>
  <c r="O96" i="17"/>
  <c r="O97" i="17"/>
  <c r="O98" i="17"/>
  <c r="O101" i="17"/>
  <c r="O102" i="17"/>
  <c r="O103" i="17"/>
  <c r="O104" i="17"/>
  <c r="O105" i="17"/>
  <c r="O106" i="17"/>
  <c r="O107" i="17"/>
  <c r="O108" i="17"/>
  <c r="O109" i="17"/>
  <c r="O110" i="17"/>
  <c r="O111" i="17"/>
  <c r="O112" i="17"/>
  <c r="O113" i="17"/>
  <c r="O114" i="17"/>
  <c r="O115" i="17"/>
  <c r="O116" i="17"/>
  <c r="O117" i="17"/>
  <c r="O118" i="17"/>
  <c r="O119" i="17"/>
  <c r="O120" i="17"/>
  <c r="O121" i="17"/>
  <c r="O122" i="17"/>
  <c r="O123" i="17"/>
  <c r="O124" i="17"/>
  <c r="O81" i="17"/>
  <c r="O82" i="17"/>
  <c r="O127" i="17"/>
  <c r="O128" i="17"/>
  <c r="O129" i="17"/>
  <c r="O130" i="17"/>
  <c r="O131" i="17"/>
  <c r="O132" i="17"/>
  <c r="O133" i="17"/>
  <c r="O83" i="17"/>
  <c r="O125" i="17"/>
  <c r="O126" i="17"/>
  <c r="O134" i="17"/>
  <c r="O136" i="17"/>
  <c r="O137" i="17"/>
  <c r="O138" i="17"/>
  <c r="O139" i="17"/>
  <c r="O142" i="17"/>
  <c r="O143" i="17"/>
  <c r="O144" i="17"/>
  <c r="O145" i="17"/>
  <c r="O146" i="17"/>
  <c r="O147" i="17"/>
  <c r="O148" i="17"/>
  <c r="O149" i="17"/>
  <c r="O150" i="17"/>
  <c r="O151" i="17"/>
  <c r="O152" i="17"/>
  <c r="O153" i="17"/>
  <c r="O154" i="17"/>
  <c r="O155" i="17"/>
  <c r="O156" i="17"/>
  <c r="O157" i="17"/>
  <c r="O158" i="17"/>
  <c r="O159" i="17"/>
  <c r="O160" i="17"/>
  <c r="O161" i="17"/>
  <c r="O163" i="17"/>
  <c r="O164" i="17"/>
  <c r="O169" i="17"/>
  <c r="O165" i="17"/>
  <c r="O166" i="17"/>
  <c r="O167" i="17"/>
  <c r="O168" i="17"/>
  <c r="O162" i="17"/>
  <c r="O170" i="17"/>
  <c r="O171" i="17"/>
  <c r="O172" i="17"/>
  <c r="O173" i="17"/>
  <c r="O174" i="17"/>
  <c r="O175" i="17"/>
  <c r="O176" i="17"/>
  <c r="O177" i="17"/>
  <c r="O178" i="17"/>
  <c r="O179" i="17"/>
  <c r="O180" i="17"/>
  <c r="O181" i="17"/>
  <c r="O182" i="17"/>
  <c r="O183" i="17"/>
  <c r="O184" i="17"/>
  <c r="O185" i="17"/>
  <c r="O186" i="17"/>
  <c r="O187" i="17"/>
  <c r="O188" i="17"/>
  <c r="O189" i="17"/>
  <c r="O190" i="17"/>
  <c r="O191" i="17"/>
  <c r="O192" i="17"/>
  <c r="O193" i="17"/>
  <c r="O195" i="17"/>
  <c r="O196" i="17"/>
  <c r="O197" i="17"/>
  <c r="O198" i="17"/>
  <c r="O199" i="17"/>
  <c r="O200" i="17"/>
  <c r="O201" i="17"/>
  <c r="O202" i="17"/>
  <c r="O203" i="17"/>
  <c r="O204" i="17"/>
  <c r="O205" i="17"/>
  <c r="O206" i="17"/>
  <c r="O207" i="17"/>
  <c r="O208" i="17"/>
  <c r="O209" i="17"/>
  <c r="C18" i="13"/>
  <c r="N3" i="25"/>
  <c r="N4" i="25"/>
  <c r="N5" i="25"/>
  <c r="N6" i="25"/>
  <c r="N7" i="25"/>
  <c r="N8" i="25"/>
  <c r="N9" i="25"/>
  <c r="N10" i="25"/>
  <c r="N11" i="25"/>
  <c r="N12" i="25"/>
  <c r="N14" i="25"/>
  <c r="N15" i="25"/>
  <c r="N16" i="25"/>
  <c r="N17" i="25"/>
  <c r="N18" i="25"/>
  <c r="N19" i="25"/>
  <c r="N20" i="25"/>
  <c r="N21" i="25"/>
  <c r="N22" i="25"/>
  <c r="N23" i="25"/>
  <c r="N24" i="25"/>
  <c r="N25" i="25"/>
  <c r="N26" i="25"/>
  <c r="N1" i="25"/>
  <c r="C19" i="13" s="1"/>
  <c r="O1" i="50"/>
  <c r="C11" i="13"/>
  <c r="N1" i="71"/>
  <c r="C25" i="13" s="1"/>
  <c r="N43" i="60"/>
  <c r="O43" i="60"/>
  <c r="N38" i="60"/>
  <c r="N37" i="60"/>
  <c r="M17" i="54"/>
  <c r="M16" i="54"/>
  <c r="M19" i="66"/>
  <c r="M18" i="66"/>
  <c r="M17" i="66"/>
  <c r="M16" i="66"/>
  <c r="M15" i="66"/>
  <c r="M13" i="7"/>
  <c r="M12" i="7"/>
  <c r="M165" i="4"/>
  <c r="N165" i="4"/>
  <c r="M164" i="4"/>
  <c r="N164" i="4"/>
  <c r="M163" i="4"/>
  <c r="N163" i="4"/>
  <c r="M162" i="4"/>
  <c r="N162" i="4"/>
  <c r="M161" i="4"/>
  <c r="N161" i="4"/>
  <c r="M160" i="4"/>
  <c r="N160" i="4"/>
  <c r="M159" i="4"/>
  <c r="N159" i="4"/>
  <c r="M158" i="4"/>
  <c r="N158" i="4"/>
  <c r="M157" i="4"/>
  <c r="N157" i="4"/>
  <c r="M156" i="4"/>
  <c r="N156" i="4"/>
  <c r="M155" i="4"/>
  <c r="N155" i="4"/>
  <c r="N63" i="50"/>
  <c r="O63" i="50"/>
  <c r="N50" i="37"/>
  <c r="O50" i="37" s="1"/>
  <c r="N49" i="37"/>
  <c r="O49" i="37"/>
  <c r="N48" i="37"/>
  <c r="O48" i="37"/>
  <c r="N47" i="37"/>
  <c r="O47" i="37"/>
  <c r="L3" i="69"/>
  <c r="M3" i="69"/>
  <c r="N1" i="69"/>
  <c r="C16" i="13" s="1"/>
  <c r="L16" i="58"/>
  <c r="M16" i="58"/>
  <c r="L15" i="58"/>
  <c r="M15" i="58"/>
  <c r="O1" i="64"/>
  <c r="C44" i="13"/>
  <c r="N16" i="61"/>
  <c r="N15" i="61"/>
  <c r="N46" i="37"/>
  <c r="O46" i="37"/>
  <c r="M14" i="66"/>
  <c r="M13" i="66"/>
  <c r="M152" i="4"/>
  <c r="N152" i="4"/>
  <c r="M153" i="4"/>
  <c r="N153" i="4"/>
  <c r="M154" i="4"/>
  <c r="N154" i="4"/>
  <c r="C23" i="13"/>
  <c r="N5" i="70"/>
  <c r="N6" i="70"/>
  <c r="N4" i="70"/>
  <c r="N3" i="70"/>
  <c r="K41" i="9"/>
  <c r="K42" i="9"/>
  <c r="K43" i="9"/>
  <c r="K44" i="9"/>
  <c r="K40" i="9"/>
  <c r="M6" i="64"/>
  <c r="M7" i="64"/>
  <c r="N14" i="61"/>
  <c r="N36" i="60"/>
  <c r="N35" i="60"/>
  <c r="N41" i="60"/>
  <c r="O41" i="60"/>
  <c r="M12" i="66"/>
  <c r="M11" i="66"/>
  <c r="M10" i="66"/>
  <c r="M9" i="66"/>
  <c r="L14" i="58"/>
  <c r="M14" i="58"/>
  <c r="O39" i="9"/>
  <c r="O40" i="9"/>
  <c r="O41" i="9"/>
  <c r="O42" i="9"/>
  <c r="O43" i="9"/>
  <c r="N42" i="37"/>
  <c r="O42" i="37"/>
  <c r="N45" i="37"/>
  <c r="O45" i="37" s="1"/>
  <c r="M140" i="4"/>
  <c r="N140" i="4"/>
  <c r="M141" i="4"/>
  <c r="N141" i="4"/>
  <c r="M142" i="4"/>
  <c r="N142" i="4"/>
  <c r="M143" i="4"/>
  <c r="N143" i="4"/>
  <c r="M144" i="4"/>
  <c r="N144" i="4"/>
  <c r="M145" i="4"/>
  <c r="N145" i="4"/>
  <c r="M146" i="4"/>
  <c r="N146" i="4"/>
  <c r="M147" i="4"/>
  <c r="N147" i="4"/>
  <c r="M148" i="4"/>
  <c r="N148" i="4"/>
  <c r="M149" i="4"/>
  <c r="N149" i="4"/>
  <c r="M150" i="4"/>
  <c r="N150" i="4"/>
  <c r="M151" i="4"/>
  <c r="N151" i="4"/>
  <c r="N62" i="50"/>
  <c r="O62" i="50"/>
  <c r="N13" i="61"/>
  <c r="N20" i="60"/>
  <c r="O20" i="60" s="1"/>
  <c r="N21" i="60"/>
  <c r="N22" i="60"/>
  <c r="N25" i="60"/>
  <c r="N19" i="60"/>
  <c r="M3" i="68"/>
  <c r="N3" i="68"/>
  <c r="O1" i="68"/>
  <c r="C39" i="13"/>
  <c r="C20" i="13"/>
  <c r="M4" i="66"/>
  <c r="M5" i="66"/>
  <c r="M6" i="66"/>
  <c r="M7" i="66"/>
  <c r="M8" i="66"/>
  <c r="M3" i="66"/>
  <c r="L1" i="18"/>
  <c r="M5" i="64"/>
  <c r="N34" i="60"/>
  <c r="O34" i="60"/>
  <c r="N32" i="60"/>
  <c r="L13" i="58"/>
  <c r="M13" i="58"/>
  <c r="O36" i="9"/>
  <c r="O37" i="9"/>
  <c r="N39" i="37"/>
  <c r="O39" i="37" s="1"/>
  <c r="N40" i="37"/>
  <c r="O40" i="37"/>
  <c r="N41" i="37"/>
  <c r="O41" i="37" s="1"/>
  <c r="N43" i="37"/>
  <c r="O43" i="37"/>
  <c r="N44" i="37"/>
  <c r="O44" i="37" s="1"/>
  <c r="O17" i="8"/>
  <c r="P17" i="8"/>
  <c r="M132" i="4"/>
  <c r="N132" i="4" s="1"/>
  <c r="M133" i="4"/>
  <c r="N133" i="4" s="1"/>
  <c r="M134" i="4"/>
  <c r="N134" i="4" s="1"/>
  <c r="M135" i="4"/>
  <c r="N135" i="4" s="1"/>
  <c r="M136" i="4"/>
  <c r="N136" i="4" s="1"/>
  <c r="M137" i="4"/>
  <c r="N137" i="4" s="1"/>
  <c r="M138" i="4"/>
  <c r="N138" i="4" s="1"/>
  <c r="M139" i="4"/>
  <c r="N139" i="4" s="1"/>
  <c r="N61" i="50"/>
  <c r="O61" i="50"/>
  <c r="N14" i="60"/>
  <c r="N60" i="50"/>
  <c r="N59" i="50"/>
  <c r="N58" i="50"/>
  <c r="O58" i="50"/>
  <c r="N57" i="50"/>
  <c r="N56" i="50"/>
  <c r="N55" i="50"/>
  <c r="N54" i="50"/>
  <c r="N53" i="50"/>
  <c r="N52" i="50"/>
  <c r="N51" i="50"/>
  <c r="N50" i="50"/>
  <c r="N49" i="50"/>
  <c r="N48" i="50"/>
  <c r="N47" i="50"/>
  <c r="N46" i="50"/>
  <c r="N45" i="50"/>
  <c r="N44" i="50"/>
  <c r="N43" i="50"/>
  <c r="N42" i="50"/>
  <c r="N41" i="50"/>
  <c r="N40" i="50"/>
  <c r="N39" i="50"/>
  <c r="N38" i="50"/>
  <c r="N37" i="50"/>
  <c r="N36" i="50"/>
  <c r="N35" i="50"/>
  <c r="N34" i="50"/>
  <c r="N33" i="50"/>
  <c r="N32" i="50"/>
  <c r="N31" i="50"/>
  <c r="N30" i="50"/>
  <c r="N29" i="50"/>
  <c r="O29" i="50"/>
  <c r="N28" i="50"/>
  <c r="O28" i="50"/>
  <c r="N27" i="50"/>
  <c r="O27" i="50"/>
  <c r="N26" i="50"/>
  <c r="N25" i="50"/>
  <c r="N24" i="50"/>
  <c r="N23" i="50"/>
  <c r="N22" i="50"/>
  <c r="N21" i="50"/>
  <c r="N20" i="50"/>
  <c r="O20" i="50"/>
  <c r="N19" i="50"/>
  <c r="N18" i="50"/>
  <c r="N17" i="50"/>
  <c r="N16" i="50"/>
  <c r="N15" i="50"/>
  <c r="N14" i="50"/>
  <c r="N13" i="50"/>
  <c r="N12" i="50"/>
  <c r="N11" i="50"/>
  <c r="N10" i="50"/>
  <c r="N9" i="50"/>
  <c r="N8" i="50"/>
  <c r="N7" i="50"/>
  <c r="O7" i="50"/>
  <c r="O6" i="50"/>
  <c r="N6" i="50"/>
  <c r="N5" i="50"/>
  <c r="N4" i="50"/>
  <c r="R4" i="37"/>
  <c r="N30" i="37"/>
  <c r="N32" i="37"/>
  <c r="N31" i="37"/>
  <c r="N33" i="37"/>
  <c r="N34" i="37"/>
  <c r="O34" i="37" s="1"/>
  <c r="N35" i="37"/>
  <c r="O35" i="37"/>
  <c r="N36" i="37"/>
  <c r="O36" i="37"/>
  <c r="N37" i="37"/>
  <c r="O37" i="37"/>
  <c r="N38" i="37"/>
  <c r="O38" i="37"/>
  <c r="O16" i="8"/>
  <c r="P16" i="8"/>
  <c r="M130" i="4"/>
  <c r="N130" i="4" s="1"/>
  <c r="M131" i="4"/>
  <c r="N131" i="4" s="1"/>
  <c r="N18" i="60"/>
  <c r="L12" i="58"/>
  <c r="M12" i="58"/>
  <c r="O35" i="9"/>
  <c r="M117" i="4"/>
  <c r="N117" i="4" s="1"/>
  <c r="M118" i="4"/>
  <c r="N118" i="4" s="1"/>
  <c r="M119" i="4"/>
  <c r="N119" i="4" s="1"/>
  <c r="M120" i="4"/>
  <c r="N120" i="4" s="1"/>
  <c r="M121" i="4"/>
  <c r="N121" i="4" s="1"/>
  <c r="M122" i="4"/>
  <c r="N122" i="4" s="1"/>
  <c r="M123" i="4"/>
  <c r="N123" i="4" s="1"/>
  <c r="M124" i="4"/>
  <c r="N124" i="4" s="1"/>
  <c r="M125" i="4"/>
  <c r="N125" i="4" s="1"/>
  <c r="M126" i="4"/>
  <c r="N126" i="4" s="1"/>
  <c r="M127" i="4"/>
  <c r="N127" i="4" s="1"/>
  <c r="M128" i="4"/>
  <c r="N128" i="4" s="1"/>
  <c r="M129" i="4"/>
  <c r="N129" i="4" s="1"/>
  <c r="N3" i="61"/>
  <c r="P1" i="61" s="1"/>
  <c r="C38" i="13" s="1"/>
  <c r="N4" i="61"/>
  <c r="N5" i="61"/>
  <c r="N6" i="61"/>
  <c r="N7" i="61"/>
  <c r="N8" i="61"/>
  <c r="N9" i="61"/>
  <c r="N10" i="61"/>
  <c r="N11" i="61"/>
  <c r="N12" i="61"/>
  <c r="L3" i="67"/>
  <c r="N1" i="67"/>
  <c r="C27" i="13"/>
  <c r="N28" i="60"/>
  <c r="N31" i="60"/>
  <c r="O31" i="60"/>
  <c r="N30" i="60"/>
  <c r="N33" i="60"/>
  <c r="O33" i="60"/>
  <c r="N29" i="60"/>
  <c r="O29" i="60"/>
  <c r="N23" i="60"/>
  <c r="N27" i="60"/>
  <c r="N26" i="60"/>
  <c r="N17" i="60"/>
  <c r="N15" i="60"/>
  <c r="N16" i="60"/>
  <c r="N13" i="60"/>
  <c r="N12" i="60"/>
  <c r="N11" i="60"/>
  <c r="N10" i="60"/>
  <c r="N9" i="60"/>
  <c r="N8" i="60"/>
  <c r="N7" i="60"/>
  <c r="N5" i="60"/>
  <c r="N6" i="60"/>
  <c r="N4" i="60"/>
  <c r="N3" i="60"/>
  <c r="P1" i="60" s="1"/>
  <c r="C9" i="13" s="1"/>
  <c r="N24" i="60"/>
  <c r="L11" i="58"/>
  <c r="M11" i="58"/>
  <c r="M116" i="4"/>
  <c r="N116" i="4" s="1"/>
  <c r="M115" i="4"/>
  <c r="N115" i="4" s="1"/>
  <c r="M114" i="4"/>
  <c r="N114" i="4" s="1"/>
  <c r="M113" i="4"/>
  <c r="N113" i="4" s="1"/>
  <c r="M112" i="4"/>
  <c r="N112" i="4" s="1"/>
  <c r="M111" i="4"/>
  <c r="N111" i="4" s="1"/>
  <c r="M110" i="4"/>
  <c r="N110" i="4" s="1"/>
  <c r="M109" i="4"/>
  <c r="N109" i="4" s="1"/>
  <c r="C45" i="13"/>
  <c r="O34" i="9"/>
  <c r="O14" i="8"/>
  <c r="P14" i="8"/>
  <c r="O15" i="8"/>
  <c r="P15" i="8"/>
  <c r="M99" i="4"/>
  <c r="N99" i="4" s="1"/>
  <c r="M100" i="4"/>
  <c r="N100" i="4" s="1"/>
  <c r="M101" i="4"/>
  <c r="N101" i="4" s="1"/>
  <c r="M102" i="4"/>
  <c r="N102" i="4" s="1"/>
  <c r="M103" i="4"/>
  <c r="N103" i="4" s="1"/>
  <c r="M104" i="4"/>
  <c r="N104" i="4" s="1"/>
  <c r="M105" i="4"/>
  <c r="N105" i="4" s="1"/>
  <c r="M106" i="4"/>
  <c r="N106" i="4" s="1"/>
  <c r="M107" i="4"/>
  <c r="N107" i="4" s="1"/>
  <c r="M4" i="64"/>
  <c r="N29" i="37"/>
  <c r="N28" i="37"/>
  <c r="M98" i="4"/>
  <c r="N98" i="4" s="1"/>
  <c r="M97" i="4"/>
  <c r="N97" i="4" s="1"/>
  <c r="M96" i="4"/>
  <c r="N96" i="4" s="1"/>
  <c r="M95" i="4"/>
  <c r="N95" i="4" s="1"/>
  <c r="M94" i="4"/>
  <c r="N94" i="4" s="1"/>
  <c r="M93" i="4"/>
  <c r="N93" i="4" s="1"/>
  <c r="M92" i="4"/>
  <c r="N92" i="4" s="1"/>
  <c r="M91" i="4"/>
  <c r="N91" i="4" s="1"/>
  <c r="M90" i="4"/>
  <c r="N90" i="4" s="1"/>
  <c r="M89" i="4"/>
  <c r="N89" i="4" s="1"/>
  <c r="M88" i="4"/>
  <c r="N88" i="4" s="1"/>
  <c r="M87" i="4"/>
  <c r="N87" i="4" s="1"/>
  <c r="M86" i="4"/>
  <c r="N86" i="4" s="1"/>
  <c r="M85" i="4"/>
  <c r="N85" i="4" s="1"/>
  <c r="M84" i="4"/>
  <c r="N84" i="4" s="1"/>
  <c r="M83" i="4"/>
  <c r="N83" i="4" s="1"/>
  <c r="M82" i="4"/>
  <c r="N82" i="4" s="1"/>
  <c r="M81" i="4"/>
  <c r="N81" i="4" s="1"/>
  <c r="L10" i="58"/>
  <c r="M10" i="58"/>
  <c r="L9" i="58"/>
  <c r="M9" i="58"/>
  <c r="L8" i="58"/>
  <c r="M8" i="58"/>
  <c r="N26" i="37"/>
  <c r="M80" i="4"/>
  <c r="N80" i="4" s="1"/>
  <c r="M79" i="4"/>
  <c r="N79" i="4" s="1"/>
  <c r="M78" i="4"/>
  <c r="N78" i="4" s="1"/>
  <c r="M77" i="4"/>
  <c r="N77" i="4" s="1"/>
  <c r="M76" i="4"/>
  <c r="N76" i="4" s="1"/>
  <c r="M75" i="4"/>
  <c r="N75" i="4" s="1"/>
  <c r="M74" i="4"/>
  <c r="N74" i="4" s="1"/>
  <c r="M73" i="4"/>
  <c r="N73" i="4" s="1"/>
  <c r="M72" i="4"/>
  <c r="N72" i="4" s="1"/>
  <c r="M71" i="4"/>
  <c r="N71" i="4" s="1"/>
  <c r="M70" i="4"/>
  <c r="N70" i="4" s="1"/>
  <c r="M69" i="4"/>
  <c r="N69" i="4" s="1"/>
  <c r="M3" i="65"/>
  <c r="N3" i="65"/>
  <c r="O1" i="65"/>
  <c r="C26" i="13"/>
  <c r="N27" i="37"/>
  <c r="M68" i="4"/>
  <c r="N68" i="4" s="1"/>
  <c r="M67" i="4"/>
  <c r="N67" i="4" s="1"/>
  <c r="M66" i="4"/>
  <c r="N66" i="4" s="1"/>
  <c r="M65" i="4"/>
  <c r="N65" i="4" s="1"/>
  <c r="M64" i="4"/>
  <c r="N64" i="4" s="1"/>
  <c r="O1" i="53"/>
  <c r="M3" i="53"/>
  <c r="J6" i="18"/>
  <c r="M3" i="64"/>
  <c r="M60" i="4"/>
  <c r="N60" i="4" s="1"/>
  <c r="M50" i="4"/>
  <c r="N50" i="4" s="1"/>
  <c r="M49" i="4"/>
  <c r="N49" i="4" s="1"/>
  <c r="M51" i="4"/>
  <c r="N51" i="4" s="1"/>
  <c r="M59" i="4"/>
  <c r="N59" i="4" s="1"/>
  <c r="M52" i="4"/>
  <c r="N52" i="4" s="1"/>
  <c r="M61" i="4"/>
  <c r="N61" i="4" s="1"/>
  <c r="M53" i="4"/>
  <c r="N53" i="4" s="1"/>
  <c r="M62" i="4"/>
  <c r="N62" i="4" s="1"/>
  <c r="M63" i="4"/>
  <c r="N63" i="4" s="1"/>
  <c r="M54" i="4"/>
  <c r="N54" i="4" s="1"/>
  <c r="L6" i="58"/>
  <c r="L7" i="58"/>
  <c r="M11" i="7"/>
  <c r="O13" i="8"/>
  <c r="N24" i="37"/>
  <c r="N25" i="37"/>
  <c r="M9" i="53"/>
  <c r="O33" i="9"/>
  <c r="M10" i="7"/>
  <c r="M55" i="4"/>
  <c r="N55" i="4" s="1"/>
  <c r="M58" i="4"/>
  <c r="N58" i="4" s="1"/>
  <c r="M57" i="4"/>
  <c r="N57" i="4" s="1"/>
  <c r="M56" i="4"/>
  <c r="N56" i="4" s="1"/>
  <c r="N8" i="59"/>
  <c r="L5" i="58"/>
  <c r="N7" i="59"/>
  <c r="N6" i="59"/>
  <c r="N5" i="59"/>
  <c r="N4" i="59"/>
  <c r="N3" i="59"/>
  <c r="O9" i="60"/>
  <c r="O8" i="60"/>
  <c r="M8" i="53"/>
  <c r="M5" i="43"/>
  <c r="M9" i="7"/>
  <c r="M43" i="4"/>
  <c r="N5" i="37"/>
  <c r="N13" i="37"/>
  <c r="N16" i="37"/>
  <c r="N7" i="37"/>
  <c r="N4" i="37"/>
  <c r="N3" i="37"/>
  <c r="O1" i="37" s="1"/>
  <c r="C8" i="13" s="1"/>
  <c r="O32" i="9"/>
  <c r="O31" i="9"/>
  <c r="N23" i="37"/>
  <c r="M44" i="4"/>
  <c r="B1" i="29"/>
  <c r="M7" i="53"/>
  <c r="M6" i="53"/>
  <c r="L4" i="58"/>
  <c r="L3" i="58"/>
  <c r="M8" i="7"/>
  <c r="M42" i="4"/>
  <c r="M41" i="4"/>
  <c r="M40" i="4"/>
  <c r="M39" i="4"/>
  <c r="M38" i="4"/>
  <c r="M32" i="4"/>
  <c r="M108" i="4"/>
  <c r="M37" i="4"/>
  <c r="M36" i="4"/>
  <c r="M35" i="4"/>
  <c r="M34" i="4"/>
  <c r="M33" i="4"/>
  <c r="M25" i="54"/>
  <c r="O1" i="54"/>
  <c r="C33" i="13"/>
  <c r="M3" i="43"/>
  <c r="M4" i="43"/>
  <c r="N1" i="43"/>
  <c r="C42" i="13"/>
  <c r="N1" i="52"/>
  <c r="N22" i="37"/>
  <c r="M27" i="4"/>
  <c r="M5" i="53"/>
  <c r="O30" i="9"/>
  <c r="O29" i="9"/>
  <c r="O22" i="9"/>
  <c r="O12" i="8"/>
  <c r="O11" i="8"/>
  <c r="M30" i="4"/>
  <c r="M26" i="4"/>
  <c r="M31" i="4"/>
  <c r="M29" i="4"/>
  <c r="M28" i="4"/>
  <c r="O28" i="9"/>
  <c r="O27" i="9"/>
  <c r="O26" i="9"/>
  <c r="O25" i="9"/>
  <c r="O24" i="9"/>
  <c r="O23" i="9"/>
  <c r="M25" i="4"/>
  <c r="M4" i="7"/>
  <c r="M3" i="7"/>
  <c r="J23" i="4"/>
  <c r="M23" i="4"/>
  <c r="N21" i="37"/>
  <c r="N20" i="37"/>
  <c r="M10" i="4"/>
  <c r="M24" i="54"/>
  <c r="M4" i="53"/>
  <c r="M3" i="54"/>
  <c r="M4" i="54"/>
  <c r="M6" i="54"/>
  <c r="M7" i="54"/>
  <c r="M8" i="54"/>
  <c r="M9" i="54"/>
  <c r="M10" i="54"/>
  <c r="M11" i="54"/>
  <c r="M12" i="54"/>
  <c r="M5" i="54"/>
  <c r="M14" i="54"/>
  <c r="M15" i="54"/>
  <c r="J23" i="54"/>
  <c r="M23" i="54"/>
  <c r="M13" i="54"/>
  <c r="M18" i="54"/>
  <c r="M19" i="54"/>
  <c r="M20" i="54"/>
  <c r="M21" i="54"/>
  <c r="M22" i="54"/>
  <c r="O10" i="8"/>
  <c r="M11" i="4"/>
  <c r="M48" i="4"/>
  <c r="N48" i="4" s="1"/>
  <c r="M47" i="4"/>
  <c r="N47" i="4" s="1"/>
  <c r="M46" i="4"/>
  <c r="N46" i="4" s="1"/>
  <c r="M45" i="4"/>
  <c r="N45" i="4" s="1"/>
  <c r="O20" i="9"/>
  <c r="O21" i="9"/>
  <c r="N19" i="37"/>
  <c r="M16" i="4"/>
  <c r="M15" i="4"/>
  <c r="M18" i="4"/>
  <c r="M24" i="4"/>
  <c r="M17" i="4"/>
  <c r="M22" i="4"/>
  <c r="M21" i="4"/>
  <c r="M20" i="4"/>
  <c r="M12" i="4"/>
  <c r="M13" i="4"/>
  <c r="M14" i="4"/>
  <c r="M19" i="4"/>
  <c r="O9" i="8"/>
  <c r="O8" i="8"/>
  <c r="M7" i="7"/>
  <c r="N14" i="37"/>
  <c r="O19" i="9"/>
  <c r="O18" i="9"/>
  <c r="N18" i="37"/>
  <c r="L3" i="38"/>
  <c r="L1" i="38"/>
  <c r="C35" i="13"/>
  <c r="N17" i="37"/>
  <c r="N11" i="37"/>
  <c r="N6" i="37"/>
  <c r="O15" i="9"/>
  <c r="O16" i="9"/>
  <c r="O17" i="9"/>
  <c r="N15" i="37"/>
  <c r="L3" i="52"/>
  <c r="C34" i="13"/>
  <c r="O7" i="8"/>
  <c r="O6" i="8"/>
  <c r="O5" i="8"/>
  <c r="O14" i="9"/>
  <c r="O13" i="9"/>
  <c r="O12" i="9"/>
  <c r="O11" i="9"/>
  <c r="N12" i="37"/>
  <c r="N10" i="37"/>
  <c r="N9" i="37"/>
  <c r="N8" i="37"/>
  <c r="O4" i="9"/>
  <c r="N9" i="40"/>
  <c r="O4" i="8"/>
  <c r="N7" i="40"/>
  <c r="N6" i="40"/>
  <c r="N8" i="40"/>
  <c r="O5" i="9"/>
  <c r="O8" i="9"/>
  <c r="O3" i="8"/>
  <c r="O10" i="9"/>
  <c r="O9" i="9"/>
  <c r="O7" i="9"/>
  <c r="O6" i="9"/>
  <c r="O3" i="9"/>
  <c r="N3" i="40"/>
  <c r="N5" i="40"/>
  <c r="N4" i="40"/>
  <c r="O1" i="40"/>
  <c r="C36" i="13"/>
  <c r="N1" i="34"/>
  <c r="O1" i="44"/>
  <c r="C32" i="13"/>
  <c r="O1" i="42"/>
  <c r="C41" i="13"/>
  <c r="N1" i="3"/>
  <c r="M1" i="41"/>
  <c r="C43" i="13"/>
  <c r="L1" i="3"/>
  <c r="C31" i="13"/>
  <c r="M2" i="39"/>
  <c r="K1" i="32"/>
  <c r="L1" i="5"/>
  <c r="M1" i="35"/>
  <c r="M1" i="31"/>
  <c r="N1" i="14"/>
  <c r="C30" i="13"/>
  <c r="N1" i="22"/>
  <c r="K1" i="12"/>
  <c r="M1" i="16"/>
  <c r="C37" i="13"/>
  <c r="K19" i="1"/>
  <c r="J19" i="1"/>
  <c r="J28" i="1"/>
  <c r="K17" i="1"/>
  <c r="J17" i="1"/>
  <c r="K16" i="1"/>
  <c r="K1" i="1"/>
  <c r="J16" i="1"/>
  <c r="C15" i="13"/>
  <c r="C29" i="13"/>
  <c r="L1" i="58" l="1"/>
  <c r="C12" i="13" s="1"/>
  <c r="M1" i="4"/>
  <c r="C5" i="13" s="1"/>
  <c r="N108" i="4"/>
  <c r="O194" i="17"/>
  <c r="O260" i="17" l="1"/>
  <c r="C6" i="13" s="1"/>
  <c r="C2" i="13" s="1"/>
  <c r="O24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tc={D9C76C50-34FF-43D8-A757-FB123DDE2493}</author>
  </authors>
  <commentList>
    <comment ref="M108" authorId="0" shapeId="0" xr:uid="{D9C76C50-34FF-43D8-A757-FB123DDE2493}">
      <text>
        <t>[Threaded comment]
Your version of Excel allows you to read this threaded comment; however, any edits to it will get removed if the file is opened in a newer version of Excel. Learn more: https://go.microsoft.com/fwlink/?linkid=870924
Comment:
    AMEND FEE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tc={1BE39AC5-8A8E-4007-AB78-990D1ADFB10F}</author>
  </authors>
  <commentList>
    <comment ref="L46" authorId="0" shapeId="0" xr:uid="{1BE39AC5-8A8E-4007-AB78-990D1ADFB10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EXW
</t>
      </text>
    </comment>
  </commentList>
</comments>
</file>

<file path=xl/sharedStrings.xml><?xml version="1.0" encoding="utf-8"?>
<sst xmlns="http://schemas.openxmlformats.org/spreadsheetml/2006/main" count="10650" uniqueCount="2733">
  <si>
    <t>CLIENTE</t>
  </si>
  <si>
    <t>MONTO</t>
  </si>
  <si>
    <t>EntregadoenMexico</t>
  </si>
  <si>
    <t>AB</t>
  </si>
  <si>
    <t>Comisiones Salo</t>
  </si>
  <si>
    <t>SALOMON JASQUI</t>
  </si>
  <si>
    <t>YOSEF</t>
  </si>
  <si>
    <t>ELIAS LEVY</t>
  </si>
  <si>
    <t>LUCK</t>
  </si>
  <si>
    <t>MAN</t>
  </si>
  <si>
    <t>JHK</t>
  </si>
  <si>
    <t>BH</t>
  </si>
  <si>
    <t>SKM</t>
  </si>
  <si>
    <t>MNS</t>
  </si>
  <si>
    <t>RED</t>
  </si>
  <si>
    <t>ELJA</t>
  </si>
  <si>
    <t>MERCURIO</t>
  </si>
  <si>
    <t>AASZ ISAMAR</t>
  </si>
  <si>
    <t>IHE</t>
  </si>
  <si>
    <t>HHB</t>
  </si>
  <si>
    <t>KOBI</t>
  </si>
  <si>
    <t>JERARKYNG</t>
  </si>
  <si>
    <t>GLAM</t>
  </si>
  <si>
    <t>ANHERST</t>
  </si>
  <si>
    <t>JAZ</t>
  </si>
  <si>
    <t>DACH</t>
  </si>
  <si>
    <t>MOSHE TUACHI</t>
  </si>
  <si>
    <t>NUDU</t>
  </si>
  <si>
    <t>BENA</t>
  </si>
  <si>
    <t>SUPRA</t>
  </si>
  <si>
    <t>JM</t>
  </si>
  <si>
    <t>MARIO EMILIANO</t>
  </si>
  <si>
    <t>JIV</t>
  </si>
  <si>
    <t>INA</t>
  </si>
  <si>
    <t>JOSHUA CREDI</t>
  </si>
  <si>
    <t>JACK LEVY</t>
  </si>
  <si>
    <t>ALEJANDRO</t>
  </si>
  <si>
    <t>CATTAN</t>
  </si>
  <si>
    <t>YTM</t>
  </si>
  <si>
    <t>ANM</t>
  </si>
  <si>
    <t>ABEYC</t>
  </si>
  <si>
    <t>LU</t>
  </si>
  <si>
    <t>GE</t>
  </si>
  <si>
    <t>PAT</t>
  </si>
  <si>
    <t>RAMON BETECH</t>
  </si>
  <si>
    <t>REF/INV NO</t>
  </si>
  <si>
    <t>CUSTOMER</t>
  </si>
  <si>
    <t>CUSTOMER FOR</t>
  </si>
  <si>
    <t>BL</t>
  </si>
  <si>
    <t>CONTAINER</t>
  </si>
  <si>
    <t>ETD</t>
  </si>
  <si>
    <t>ETA</t>
  </si>
  <si>
    <t>SHIPPING LINE</t>
  </si>
  <si>
    <t>POL</t>
  </si>
  <si>
    <t>POD</t>
  </si>
  <si>
    <t>BILL AMT</t>
  </si>
  <si>
    <t>DATE</t>
  </si>
  <si>
    <t>PAY</t>
  </si>
  <si>
    <t>TOTAL COST</t>
  </si>
  <si>
    <t>EXW</t>
  </si>
  <si>
    <t>RAIL/TRUCK</t>
  </si>
  <si>
    <t>MLO-AB26001</t>
  </si>
  <si>
    <t>JAIME ABADI</t>
  </si>
  <si>
    <t>MLO-AB</t>
  </si>
  <si>
    <t>TCNU2653972</t>
  </si>
  <si>
    <t>CMA</t>
  </si>
  <si>
    <t>NINGBO</t>
  </si>
  <si>
    <t>HOUSTON , TEXAS, US</t>
  </si>
  <si>
    <t>-</t>
  </si>
  <si>
    <t>MLO-AB26002</t>
  </si>
  <si>
    <t>GCXU5309377</t>
  </si>
  <si>
    <t>MLO-AB26005</t>
  </si>
  <si>
    <t>SEGU6355882</t>
  </si>
  <si>
    <t>MLO-AB26006</t>
  </si>
  <si>
    <t>ECMU5712849</t>
  </si>
  <si>
    <t>MLO-AB26004</t>
  </si>
  <si>
    <t>TGBU5188869</t>
  </si>
  <si>
    <t>MLO-AB26003</t>
  </si>
  <si>
    <t>ZCSU6874873</t>
  </si>
  <si>
    <t>ZIM</t>
  </si>
  <si>
    <t>MLO-AB26007</t>
  </si>
  <si>
    <t>JXLU6174083</t>
  </si>
  <si>
    <t>MLO-AB26017</t>
  </si>
  <si>
    <t>MRSU7555239</t>
  </si>
  <si>
    <t>MSK</t>
  </si>
  <si>
    <t>SHANGHAI</t>
  </si>
  <si>
    <t>PANTACO</t>
  </si>
  <si>
    <t>MLO-AB26027</t>
  </si>
  <si>
    <t>MSNU7430873</t>
  </si>
  <si>
    <t>MSC</t>
  </si>
  <si>
    <t>MLO-AB26008</t>
  </si>
  <si>
    <t>TECNOMUNDO</t>
  </si>
  <si>
    <t>MRSU6332539</t>
  </si>
  <si>
    <t>MLO-AB26009</t>
  </si>
  <si>
    <t>UETU8153693</t>
  </si>
  <si>
    <t>MLO-AB26010</t>
  </si>
  <si>
    <t>UETU8361969</t>
  </si>
  <si>
    <t>MLO-AB26019</t>
  </si>
  <si>
    <t>SALOMON</t>
  </si>
  <si>
    <t>CSNU8819812</t>
  </si>
  <si>
    <t>COSCO</t>
  </si>
  <si>
    <t>MLO-AB26020</t>
  </si>
  <si>
    <t>CSNU8592190</t>
  </si>
  <si>
    <t>MLO-AB26015</t>
  </si>
  <si>
    <t>MRKU5332439</t>
  </si>
  <si>
    <t>LAZARO CARDENAS,MX</t>
  </si>
  <si>
    <t>MLO-AB26018</t>
  </si>
  <si>
    <t>KSSU1002560</t>
  </si>
  <si>
    <t>MLO-AB26011</t>
  </si>
  <si>
    <t>MSKU1419888</t>
  </si>
  <si>
    <t>MLO-AB26012</t>
  </si>
  <si>
    <t>MRSU6794516</t>
  </si>
  <si>
    <t>MLO-AB26013</t>
  </si>
  <si>
    <t>HASU4320966</t>
  </si>
  <si>
    <t>MLO-AB26014</t>
  </si>
  <si>
    <t>MSKU0540494</t>
  </si>
  <si>
    <t>MLO-AB26021</t>
  </si>
  <si>
    <t>CAJU5114486</t>
  </si>
  <si>
    <t>MLO-AB26016</t>
  </si>
  <si>
    <t>CAAU6205753</t>
  </si>
  <si>
    <t>MLO-AB26030</t>
  </si>
  <si>
    <t>GAOU7325610</t>
  </si>
  <si>
    <t>HOUSTON</t>
  </si>
  <si>
    <t>MLO-AB26032</t>
  </si>
  <si>
    <t>JZPU8024650</t>
  </si>
  <si>
    <t>MLO-AB26031</t>
  </si>
  <si>
    <t>ZCSU7319366</t>
  </si>
  <si>
    <t>MLO-AB26026</t>
  </si>
  <si>
    <t>CAAU7892187</t>
  </si>
  <si>
    <t>MLO-AB26028</t>
  </si>
  <si>
    <t>MSNU5896374</t>
  </si>
  <si>
    <t>MLO-AB26033</t>
  </si>
  <si>
    <t>MSDU8916387</t>
  </si>
  <si>
    <t>MLO-AB26029</t>
  </si>
  <si>
    <t>MRKU3544552</t>
  </si>
  <si>
    <t>MLO-AB26040</t>
  </si>
  <si>
    <t>MAGU5329056</t>
  </si>
  <si>
    <t>MLO-AB26034</t>
  </si>
  <si>
    <t>MRKU4578449</t>
  </si>
  <si>
    <t>MLO-AB26035</t>
  </si>
  <si>
    <t>TCKU6978502</t>
  </si>
  <si>
    <t>MLO-AB26036</t>
  </si>
  <si>
    <t>GAOU7171310</t>
  </si>
  <si>
    <t>MLO-AB26037</t>
  </si>
  <si>
    <t>CAAU9376997</t>
  </si>
  <si>
    <t>MLO-AB26038</t>
  </si>
  <si>
    <t>HASU5101474</t>
  </si>
  <si>
    <t>MLO-AB26041</t>
  </si>
  <si>
    <t>TCLU9718424</t>
  </si>
  <si>
    <t>ONE</t>
  </si>
  <si>
    <t>MLO-AB26042</t>
  </si>
  <si>
    <t>FFAU6648945</t>
  </si>
  <si>
    <t>MLO-AB26043</t>
  </si>
  <si>
    <t>TGBU9836105</t>
  </si>
  <si>
    <t>MLO-AB26044</t>
  </si>
  <si>
    <t>NYKU0847904</t>
  </si>
  <si>
    <t xml:space="preserve"> Include cancelation fee $300 &amp; below charges $221.69
Manifest Cancellation Fee: ￥375
Manifest Fee: ￥106
Detention Fee: ￥960
&amp; after loaded to houston, Rosalba ask take back and ship to Mexico total charges $938.77 </t>
  </si>
  <si>
    <t>MLO-AB26048</t>
  </si>
  <si>
    <t>CICU6783487</t>
  </si>
  <si>
    <t>MLO-AB26051</t>
  </si>
  <si>
    <t>FSCU8614663</t>
  </si>
  <si>
    <t>MLO-AB26052</t>
  </si>
  <si>
    <t>TGBU5967895</t>
  </si>
  <si>
    <t>MLO-AB26022</t>
  </si>
  <si>
    <t>SEGU4947162</t>
  </si>
  <si>
    <t>MLO-AB26023</t>
  </si>
  <si>
    <t>CMAU6536947</t>
  </si>
  <si>
    <t>MLO-AB26024</t>
  </si>
  <si>
    <t>TGCU5484313</t>
  </si>
  <si>
    <t>MLO-AB26025</t>
  </si>
  <si>
    <t>CMAU6749304</t>
  </si>
  <si>
    <t>MLO-AB26056</t>
  </si>
  <si>
    <t>CSNU7696797</t>
  </si>
  <si>
    <t>MLO-AB26049</t>
  </si>
  <si>
    <t>XHCU5087349</t>
  </si>
  <si>
    <t>MLO-AB26058</t>
  </si>
  <si>
    <t>MRSU2375954</t>
  </si>
  <si>
    <t>MLO-AB26060</t>
  </si>
  <si>
    <t>TCNU2927610</t>
  </si>
  <si>
    <t>MLO-AB26070</t>
  </si>
  <si>
    <t>MRSU4532688</t>
  </si>
  <si>
    <t>ALL  TRUCK TO PANTACO</t>
  </si>
  <si>
    <t xml:space="preserve"> Include changing the destination port on BL after vessel departure charge $250 per container </t>
  </si>
  <si>
    <t>MLO-AB26073</t>
  </si>
  <si>
    <t>ONEU4287744</t>
  </si>
  <si>
    <t>MLO-AB26055</t>
  </si>
  <si>
    <t>OOLU9115815</t>
  </si>
  <si>
    <t>MLO-AB26045</t>
  </si>
  <si>
    <t>MRSU8755442</t>
  </si>
  <si>
    <t>MLO-AB26050</t>
  </si>
  <si>
    <t>MRKU5847938</t>
  </si>
  <si>
    <t>MLO-AB26053</t>
  </si>
  <si>
    <t>CAAU9134490</t>
  </si>
  <si>
    <t xml:space="preserve"> Include cancelation fee $300 &amp; below charges $343.23
Manifest Cancellation Fee: ￥375
Manifest Fee: ￥106
Detention Fee: ￥1750 </t>
  </si>
  <si>
    <t>MLO-AB26059</t>
  </si>
  <si>
    <t>MRSU3369508</t>
  </si>
  <si>
    <t>MLO-AB26046</t>
  </si>
  <si>
    <t>MRSU8849752</t>
  </si>
  <si>
    <t>MLO-AB26069</t>
  </si>
  <si>
    <t>CAAU6403975</t>
  </si>
  <si>
    <t>MLO-AB26071</t>
  </si>
  <si>
    <t>FFAU5776540</t>
  </si>
  <si>
    <t>MLO-AB26072</t>
  </si>
  <si>
    <t>TGBU6786016</t>
  </si>
  <si>
    <t>MLO-AB26047</t>
  </si>
  <si>
    <t>MRSU9709082</t>
  </si>
  <si>
    <t>MLO-AB26061</t>
  </si>
  <si>
    <t>MRSU9722654</t>
  </si>
  <si>
    <t>MLO-AB26062</t>
  </si>
  <si>
    <t>MRSU9729896</t>
  </si>
  <si>
    <t>MLO-AB26063</t>
  </si>
  <si>
    <t>MRSU9728550</t>
  </si>
  <si>
    <t>MLO-AB26085</t>
  </si>
  <si>
    <t>MOTU1422047</t>
  </si>
  <si>
    <t>MLO-AB26064</t>
  </si>
  <si>
    <t>MRSU3939112</t>
  </si>
  <si>
    <t>MLO-AB26065</t>
  </si>
  <si>
    <t>TIIU6964966</t>
  </si>
  <si>
    <t>MLO-AB26066</t>
  </si>
  <si>
    <t>HASU4255109</t>
  </si>
  <si>
    <t>MLO-AB26074</t>
  </si>
  <si>
    <t>HASU5089168</t>
  </si>
  <si>
    <t>MLO-AB26075</t>
  </si>
  <si>
    <t>MSMU7610573</t>
  </si>
  <si>
    <t>MLO-AB26076</t>
  </si>
  <si>
    <t>OOCU5430849</t>
  </si>
  <si>
    <t>MLO-AB26077</t>
  </si>
  <si>
    <t>FFAU6918845</t>
  </si>
  <si>
    <t>MLO-AB26079</t>
  </si>
  <si>
    <t>MRSU8142380</t>
  </si>
  <si>
    <t>MLO-AB26082</t>
  </si>
  <si>
    <t>TRHU4763967</t>
  </si>
  <si>
    <t>MLO-AB26083</t>
  </si>
  <si>
    <t>MRKU2935207</t>
  </si>
  <si>
    <t>MLO-AB26084</t>
  </si>
  <si>
    <t>TCLU5763934</t>
  </si>
  <si>
    <t>MLO-AB26088</t>
  </si>
  <si>
    <t>ONEU4297439</t>
  </si>
  <si>
    <t>MLO-AB26078</t>
  </si>
  <si>
    <t>MRSU4633750</t>
  </si>
  <si>
    <t>SHENZHEN</t>
  </si>
  <si>
    <t>MLO-AB26080</t>
  </si>
  <si>
    <t>MRSU9136885</t>
  </si>
  <si>
    <t>MLO-AB26081</t>
  </si>
  <si>
    <t>MRSU5494258</t>
  </si>
  <si>
    <t>MLO-AB26086</t>
  </si>
  <si>
    <t>MRKU3594126</t>
  </si>
  <si>
    <t>MLO-AB26087</t>
  </si>
  <si>
    <t>TIIU5296970</t>
  </si>
  <si>
    <t>MLO-AB26089</t>
  </si>
  <si>
    <t>FFAU7386238</t>
  </si>
  <si>
    <t>MLO-AB26090</t>
  </si>
  <si>
    <t>MRSU3355274</t>
  </si>
  <si>
    <t>MLO-AB26091</t>
  </si>
  <si>
    <t>MIEU0008324</t>
  </si>
  <si>
    <t>MLO-AB26092</t>
  </si>
  <si>
    <t>MRKU6404404</t>
  </si>
  <si>
    <t>MLO-AB26094</t>
  </si>
  <si>
    <t>MRKU2170993</t>
  </si>
  <si>
    <t>MLO-AB26095</t>
  </si>
  <si>
    <t>MRSU8066470</t>
  </si>
  <si>
    <t>MLO-AB26096</t>
  </si>
  <si>
    <t>TCKU7388239</t>
  </si>
  <si>
    <t>MLO-AB26097</t>
  </si>
  <si>
    <t>TGBU9321413</t>
  </si>
  <si>
    <t>MLO-AB26098</t>
  </si>
  <si>
    <t>TCLU9313832</t>
  </si>
  <si>
    <t>MLO-AB26105</t>
  </si>
  <si>
    <t>MRKU3458074</t>
  </si>
  <si>
    <t>MLO-AB26106</t>
  </si>
  <si>
    <t>TIIU5871200</t>
  </si>
  <si>
    <t>MLO-AB26107</t>
  </si>
  <si>
    <t>CAAU6548500</t>
  </si>
  <si>
    <t>MLO-AB26108</t>
  </si>
  <si>
    <t>CAAU7400923</t>
  </si>
  <si>
    <t>MLO-AB26057</t>
  </si>
  <si>
    <t>MOTU5816542</t>
  </si>
  <si>
    <t>MLO-AB26067</t>
  </si>
  <si>
    <t>ONEU0575721</t>
  </si>
  <si>
    <t xml:space="preserve"> Include cancelation fee $300 &amp; below charges $294.77
Manifest Cancellation Fee: ￥375
Manifest Fee: ￥106
Detention Fee: ￥1435
&amp; after loaded to houston, Rosalba ask take back and ship to Mexico total charges $844.61 </t>
  </si>
  <si>
    <t>MLO-AB26068</t>
  </si>
  <si>
    <t>CAJU5439671</t>
  </si>
  <si>
    <t xml:space="preserve"> Include cancelation fee $300 &amp; below charges $246.31
Manifest Cancellation Fee: ￥375
Manifest Fee: ￥106
Detention Fee: ￥1120
&amp; after loaded to houston, Rosalba ask take back and ship to Mexico total charges $1793.01 </t>
  </si>
  <si>
    <t>MLO-AB26093</t>
  </si>
  <si>
    <t>MRKU4470393</t>
  </si>
  <si>
    <t>LIANYUNGANG</t>
  </si>
  <si>
    <t>MLO-AB26099</t>
  </si>
  <si>
    <t>CAJU5448014</t>
  </si>
  <si>
    <t>MLO-AB26100</t>
  </si>
  <si>
    <t>CBHU9596490</t>
  </si>
  <si>
    <t>MLO-AB26101</t>
  </si>
  <si>
    <t>OOCU7643308</t>
  </si>
  <si>
    <t>MLO-AB26102</t>
  </si>
  <si>
    <t>TGBU5376700</t>
  </si>
  <si>
    <t>MLO-AB26109</t>
  </si>
  <si>
    <t>CAAU4637022</t>
  </si>
  <si>
    <t>MLO-AB26039</t>
  </si>
  <si>
    <t>ONEU1041504</t>
  </si>
  <si>
    <t>MLO-AB26103</t>
  </si>
  <si>
    <t>TRHU5256191</t>
  </si>
  <si>
    <t>MLO-AB26110</t>
  </si>
  <si>
    <t>MRKU2693926</t>
  </si>
  <si>
    <t>MLO-AB26111</t>
  </si>
  <si>
    <t xml:space="preserve">MRKU4742932
</t>
  </si>
  <si>
    <t>MLO-AB26112</t>
  </si>
  <si>
    <t>CAAU6506823</t>
  </si>
  <si>
    <t>MLO-AB26113</t>
  </si>
  <si>
    <t>MRSU3276513</t>
  </si>
  <si>
    <t>MLO-AB26115</t>
  </si>
  <si>
    <t>MRSU7201019</t>
  </si>
  <si>
    <t>MLO-AB26116</t>
  </si>
  <si>
    <t>CAAU7766213</t>
  </si>
  <si>
    <t>MLO-AB26117</t>
  </si>
  <si>
    <t>GCXU5680789</t>
  </si>
  <si>
    <t>MLO-AB26104</t>
  </si>
  <si>
    <t>TGBU4954511</t>
  </si>
  <si>
    <t>QINGDAO</t>
  </si>
  <si>
    <t>MLO-AB26114</t>
  </si>
  <si>
    <t>MRKU5168109</t>
  </si>
  <si>
    <t>MLO-AB26119</t>
  </si>
  <si>
    <t>MRSU8635350</t>
  </si>
  <si>
    <t>MLO-AB26121</t>
  </si>
  <si>
    <t>TLLU5670038</t>
  </si>
  <si>
    <t>MLO-AB26124</t>
  </si>
  <si>
    <t>MRSU5074893</t>
  </si>
  <si>
    <t>MLO-AB26125</t>
  </si>
  <si>
    <t>TCKU7483869</t>
  </si>
  <si>
    <t>MLO-AB26126</t>
  </si>
  <si>
    <t>MRKU4182972</t>
  </si>
  <si>
    <t>MLO-AB26127</t>
  </si>
  <si>
    <t>TCNU7089361</t>
  </si>
  <si>
    <t>MLO-AB26131</t>
  </si>
  <si>
    <t>TIIU7467521</t>
  </si>
  <si>
    <t>MLO-AB26132</t>
  </si>
  <si>
    <t>MRKU6172680</t>
  </si>
  <si>
    <t>MLO-AB26134</t>
  </si>
  <si>
    <t>ONEU6354625</t>
  </si>
  <si>
    <t>MLO-AB26135</t>
  </si>
  <si>
    <t>ONEU5750426</t>
  </si>
  <si>
    <t>MLO-AB26145</t>
  </si>
  <si>
    <t>ONEU4214877</t>
  </si>
  <si>
    <t>MLO-AB26129</t>
  </si>
  <si>
    <t>MRKU6222143</t>
  </si>
  <si>
    <t>LIANYUNGNAG</t>
  </si>
  <si>
    <t>MLO-AB26137</t>
  </si>
  <si>
    <t>SUDU8864723</t>
  </si>
  <si>
    <t>MLO-AB26128</t>
  </si>
  <si>
    <t>HASU4446975</t>
  </si>
  <si>
    <t>MLO-AB26130</t>
  </si>
  <si>
    <t>MRSU7131760</t>
  </si>
  <si>
    <t>MLO-AB26136</t>
  </si>
  <si>
    <t>MRKU5654815</t>
  </si>
  <si>
    <t>MLO-AB26138</t>
  </si>
  <si>
    <t>MRSU7430988</t>
  </si>
  <si>
    <t>MLO-AB26140</t>
  </si>
  <si>
    <t>MRKU4114638</t>
  </si>
  <si>
    <t>MLO-AB26141</t>
  </si>
  <si>
    <t>TRLU7457866</t>
  </si>
  <si>
    <t>MLO-AB26142</t>
  </si>
  <si>
    <t>UETU5920343</t>
  </si>
  <si>
    <t>MLO-AB26146</t>
  </si>
  <si>
    <t>MRKU3358481</t>
  </si>
  <si>
    <t>MLO-AB26147</t>
  </si>
  <si>
    <t>CAAU6332260</t>
  </si>
  <si>
    <t>MLO-AB26162</t>
  </si>
  <si>
    <t>TXGU8880718</t>
  </si>
  <si>
    <t>MLO-AB26143</t>
  </si>
  <si>
    <t>UETU6209833</t>
  </si>
  <si>
    <t>MLO-AB26122</t>
  </si>
  <si>
    <t>CAAU4911133</t>
  </si>
  <si>
    <t>MLO-AB26123</t>
  </si>
  <si>
    <t>MRKU4809609</t>
  </si>
  <si>
    <t>MLO-AB26156</t>
  </si>
  <si>
    <t>TCNU4690403</t>
  </si>
  <si>
    <t>MLO-AB26155</t>
  </si>
  <si>
    <t>CMAU6743369</t>
  </si>
  <si>
    <t>MLO-AB26161</t>
  </si>
  <si>
    <t>TGHU6627335</t>
  </si>
  <si>
    <t>MLO-AB26144</t>
  </si>
  <si>
    <t>TEMU7097963</t>
  </si>
  <si>
    <t>MLO-AB26157</t>
  </si>
  <si>
    <t>MRKU4360945</t>
  </si>
  <si>
    <t>MLO-AB26153</t>
  </si>
  <si>
    <t>TLLU4008942</t>
  </si>
  <si>
    <t>MLO-AB26160</t>
  </si>
  <si>
    <t>TXGU5263939</t>
  </si>
  <si>
    <t>MLO-AB26148</t>
  </si>
  <si>
    <t>MOY COHEN/DAGVALA LOGÍSTICA</t>
  </si>
  <si>
    <t>MRSU6633131</t>
  </si>
  <si>
    <t>MLO-AB26154</t>
  </si>
  <si>
    <t>MIEU3483631</t>
  </si>
  <si>
    <t>MLO-AB26158</t>
  </si>
  <si>
    <t>MRKU3823794</t>
  </si>
  <si>
    <t>MLO-AB26120</t>
  </si>
  <si>
    <t>CSGU6788354</t>
  </si>
  <si>
    <t>MLO-AB26151</t>
  </si>
  <si>
    <t>BMOU5325103</t>
  </si>
  <si>
    <t>MLO-AB26159</t>
  </si>
  <si>
    <t>TCKU6852052</t>
  </si>
  <si>
    <t>MLO-AB26163</t>
  </si>
  <si>
    <t>SALOMON/COMERCIALIZADORA AMCT</t>
  </si>
  <si>
    <t>FFAU2716379</t>
  </si>
  <si>
    <t>MLO-AB26164</t>
  </si>
  <si>
    <t>CSNU7202024</t>
  </si>
  <si>
    <t>MLO-AB26165</t>
  </si>
  <si>
    <t>AMIGA/TECNOMUNDO</t>
  </si>
  <si>
    <t>OOCU7963390</t>
  </si>
  <si>
    <t>MLO-AB26166</t>
  </si>
  <si>
    <t>TEMU8266800</t>
  </si>
  <si>
    <t>MLO-AB26169</t>
  </si>
  <si>
    <t>MRSU2919338</t>
  </si>
  <si>
    <t>MLO-AB26172</t>
  </si>
  <si>
    <t>TRHU4243230</t>
  </si>
  <si>
    <t>MLO-AB26180</t>
  </si>
  <si>
    <t>MIEU3556358</t>
  </si>
  <si>
    <t>MLO-AB26181</t>
  </si>
  <si>
    <t>TGBU9348604</t>
  </si>
  <si>
    <t>MLO-AB26139</t>
  </si>
  <si>
    <t>FSCU8727525</t>
  </si>
  <si>
    <t>ALL RAIL TO PANTACO</t>
  </si>
  <si>
    <t>MLO-AB26150</t>
  </si>
  <si>
    <t>BMOU5847582</t>
  </si>
  <si>
    <t>MLO-AB26152</t>
  </si>
  <si>
    <t>OOLU5852440</t>
  </si>
  <si>
    <t>MLO-AB26167</t>
  </si>
  <si>
    <t>CSNU5887937</t>
  </si>
  <si>
    <t>MLO-AB26168</t>
  </si>
  <si>
    <t>TGBU5245320</t>
  </si>
  <si>
    <t>MLO-AB26171</t>
  </si>
  <si>
    <t>TRHU7619819</t>
  </si>
  <si>
    <t>MLO-AB26178</t>
  </si>
  <si>
    <t>OOCU9243131</t>
  </si>
  <si>
    <t>MLO-AB26179</t>
  </si>
  <si>
    <t>CSNU8358583</t>
  </si>
  <si>
    <t>MLO-AB26190</t>
  </si>
  <si>
    <t>CSGU6218710</t>
  </si>
  <si>
    <t>MLO-AB26191</t>
  </si>
  <si>
    <t>CSNU7709955</t>
  </si>
  <si>
    <t>MLO-AB26192</t>
  </si>
  <si>
    <t>CSNU7884562</t>
  </si>
  <si>
    <t>MLO-AB26170</t>
  </si>
  <si>
    <t>MRSU3642490</t>
  </si>
  <si>
    <t>MLO-AB26173</t>
  </si>
  <si>
    <t>HASU4020228</t>
  </si>
  <si>
    <t>MLO-AB26176</t>
  </si>
  <si>
    <t>TLLU5119452</t>
  </si>
  <si>
    <t>MLO-AB26177</t>
  </si>
  <si>
    <t>MRSU9109642</t>
  </si>
  <si>
    <t>MLO-AB26182</t>
  </si>
  <si>
    <t>MRSU4609141</t>
  </si>
  <si>
    <t>MLO-AB26183</t>
  </si>
  <si>
    <t>UETU6807985</t>
  </si>
  <si>
    <t>MLO-AB26184</t>
  </si>
  <si>
    <t>MRKU5742156</t>
  </si>
  <si>
    <t>MLO-AB26186</t>
  </si>
  <si>
    <t>MRSU6430999</t>
  </si>
  <si>
    <t>MLO-AB26118</t>
  </si>
  <si>
    <t>TRHU7757968</t>
  </si>
  <si>
    <t>MLO-AB26174</t>
  </si>
  <si>
    <t>MRSU8075337</t>
  </si>
  <si>
    <t>MLO-AB26175</t>
  </si>
  <si>
    <t>UETU6861950</t>
  </si>
  <si>
    <t>MLO-AB26185</t>
  </si>
  <si>
    <t>TCNU5155891</t>
  </si>
  <si>
    <t>MLO-AB26187</t>
  </si>
  <si>
    <t>ONEU1454112</t>
  </si>
  <si>
    <t>MLO-AB26188</t>
  </si>
  <si>
    <t>HASU4431173</t>
  </si>
  <si>
    <t>MLO-AB26189</t>
  </si>
  <si>
    <t>TRHU5900771</t>
  </si>
  <si>
    <t>MLO-AB26193</t>
  </si>
  <si>
    <t>CSNU7030630</t>
  </si>
  <si>
    <t>MLO-AB26194</t>
  </si>
  <si>
    <t>TIIU7834057</t>
  </si>
  <si>
    <t>MLO-AB26196</t>
  </si>
  <si>
    <t>GCXU5210532</t>
  </si>
  <si>
    <t>MLO-AB26197</t>
  </si>
  <si>
    <t>TRHU5174750</t>
  </si>
  <si>
    <t>MLO-AB26198</t>
  </si>
  <si>
    <t>TCKU6924527</t>
  </si>
  <si>
    <t>MLO-AB26200</t>
  </si>
  <si>
    <t>KOCU4643146</t>
  </si>
  <si>
    <t>HMM</t>
  </si>
  <si>
    <t>MLO-AB26199</t>
  </si>
  <si>
    <t>CSGU6511729</t>
  </si>
  <si>
    <t>MLO-AB26201</t>
  </si>
  <si>
    <t>CSNU8530706</t>
  </si>
  <si>
    <t>MLO-AB26202</t>
  </si>
  <si>
    <t>HMMU4534513</t>
  </si>
  <si>
    <t>MLO-AB26203</t>
  </si>
  <si>
    <t>TLLU4381030</t>
  </si>
  <si>
    <t xml:space="preserve">CUSTOMER </t>
  </si>
  <si>
    <t>BILL AMT</t>
    <phoneticPr fontId="0" type="noConversion"/>
  </si>
  <si>
    <t>NUDU-26001/B7</t>
  </si>
  <si>
    <t>CSNU6026379</t>
  </si>
  <si>
    <t>MANZANILLO,MX</t>
  </si>
  <si>
    <t>have paid to ML-CHINA</t>
  </si>
  <si>
    <t>NUDU-26002/B8</t>
  </si>
  <si>
    <t>DFSU7408071</t>
  </si>
  <si>
    <t>NUDU-26003/B9</t>
  </si>
  <si>
    <t>UETU5389258</t>
  </si>
  <si>
    <t>NUDU-26004/B10</t>
  </si>
  <si>
    <t>CSNU5614866</t>
  </si>
  <si>
    <t>NUDU-26006//945</t>
  </si>
  <si>
    <t>TGBU9992957</t>
  </si>
  <si>
    <t>NUDU-26005//944</t>
  </si>
  <si>
    <t>DRYU9849521</t>
  </si>
  <si>
    <t>EMC</t>
  </si>
  <si>
    <t>NUDU-26009//941</t>
  </si>
  <si>
    <t>CMAU9829830</t>
  </si>
  <si>
    <t>TIANJIN</t>
  </si>
  <si>
    <t>NUDU-26011//B11</t>
  </si>
  <si>
    <t>MRSU6705170</t>
  </si>
  <si>
    <t>NUDU-26012//B12</t>
  </si>
  <si>
    <t>MRSU9488551</t>
  </si>
  <si>
    <t>NUDU-26010//947</t>
  </si>
  <si>
    <t>TEMU7860550</t>
  </si>
  <si>
    <t>NUDU-26024//942</t>
  </si>
  <si>
    <t>BSIU9686619</t>
  </si>
  <si>
    <t>NUDU-26025//940</t>
  </si>
  <si>
    <t>MAGU5524670</t>
  </si>
  <si>
    <t>NUDU-26017//B17</t>
  </si>
  <si>
    <t>BEAU4267055</t>
  </si>
  <si>
    <t>NUDU-26018//B18</t>
  </si>
  <si>
    <t>TLLU8731733</t>
  </si>
  <si>
    <t>NUDU-26019//B19</t>
  </si>
  <si>
    <t>MSDU8207720</t>
  </si>
  <si>
    <t>NUDU-26020//B20</t>
  </si>
  <si>
    <t>FSCU8028560</t>
  </si>
  <si>
    <t>NUDU-26021//B21</t>
  </si>
  <si>
    <t>MSMU4159722</t>
  </si>
  <si>
    <t>NUDU-26022//B22</t>
  </si>
  <si>
    <t>TCLU1711207</t>
  </si>
  <si>
    <t>NUDU-26023//955</t>
  </si>
  <si>
    <t>ZCSU7728385</t>
  </si>
  <si>
    <t>NUDU-26027//952</t>
  </si>
  <si>
    <t>MSDU6210067</t>
  </si>
  <si>
    <t>NUDU-26029//954</t>
  </si>
  <si>
    <t>MSMU4143475</t>
  </si>
  <si>
    <t>NUDU-26013//B13</t>
  </si>
  <si>
    <t>CAAU6671406</t>
  </si>
  <si>
    <t>NUDU-26014//B14</t>
  </si>
  <si>
    <t>MRSU3681882</t>
  </si>
  <si>
    <t>NUDU-26015//B15</t>
  </si>
  <si>
    <t>SEGU4747143</t>
  </si>
  <si>
    <t>NUDU-26016//B16</t>
  </si>
  <si>
    <t>CAJU5187040</t>
  </si>
  <si>
    <t>NUDU-26026//951</t>
  </si>
  <si>
    <t>ZCSU7274410</t>
  </si>
  <si>
    <t>NUDU-26028//953</t>
  </si>
  <si>
    <t>HMMU4368388</t>
  </si>
  <si>
    <t>NUDU-26007/B24</t>
  </si>
  <si>
    <t>TRHU5820110</t>
  </si>
  <si>
    <t>NUDU-26008/B23</t>
  </si>
  <si>
    <t>OOCU8979468</t>
  </si>
  <si>
    <t>PREVIO/INSURANCE</t>
  </si>
  <si>
    <t>RAIL</t>
  </si>
  <si>
    <t>IHE-25045</t>
  </si>
  <si>
    <t>ISAAC HEMZANI</t>
  </si>
  <si>
    <t>TLX</t>
  </si>
  <si>
    <t>HMMU6395166</t>
  </si>
  <si>
    <t>IHE-26001</t>
  </si>
  <si>
    <t>HMMU7115830</t>
  </si>
  <si>
    <t>IHE-26003</t>
  </si>
  <si>
    <t>HMMU4747777</t>
  </si>
  <si>
    <t>IHEMSANI-26001</t>
  </si>
  <si>
    <t>TGBU7755792</t>
  </si>
  <si>
    <t>IHEMSANI-26002</t>
  </si>
  <si>
    <t>SEGU4416079</t>
  </si>
  <si>
    <t>IHE-26005</t>
  </si>
  <si>
    <t>ISAAC HEMSANI</t>
  </si>
  <si>
    <t>OOCU8228169</t>
  </si>
  <si>
    <t>IHE-26004</t>
  </si>
  <si>
    <t>TCNU5552564</t>
  </si>
  <si>
    <t>IHEMSANI-26003</t>
  </si>
  <si>
    <t>CSNU5678963</t>
  </si>
  <si>
    <t>IHEMSANI-26004</t>
  </si>
  <si>
    <t>CSNU6946947</t>
  </si>
  <si>
    <t>IHE-26008</t>
  </si>
  <si>
    <t>OOLU9197599</t>
  </si>
  <si>
    <t>IHE-26007</t>
  </si>
  <si>
    <t>EGSU9369167</t>
  </si>
  <si>
    <t>IHE-26006</t>
  </si>
  <si>
    <t>TRHU7960574</t>
  </si>
  <si>
    <t>IHE-26002</t>
  </si>
  <si>
    <t>HMMU4731560</t>
  </si>
  <si>
    <t>IHE-26009</t>
  </si>
  <si>
    <t>TXGU7206706</t>
  </si>
  <si>
    <t>MANZANILLO</t>
  </si>
  <si>
    <t>IHE-26010</t>
  </si>
  <si>
    <t>CSNU7289786</t>
  </si>
  <si>
    <t>IHE-26012</t>
  </si>
  <si>
    <t>DFSU7360363</t>
  </si>
  <si>
    <t>IHE-26011</t>
  </si>
  <si>
    <t>CMAU9884843</t>
  </si>
  <si>
    <t>IHE-26013</t>
  </si>
  <si>
    <t>APHU6793680</t>
  </si>
  <si>
    <t>IHE-26014</t>
  </si>
  <si>
    <t>CMAU4207161</t>
  </si>
  <si>
    <t>IHE-26015</t>
  </si>
  <si>
    <t>MRSU4798024</t>
  </si>
  <si>
    <t>IHE-26016</t>
  </si>
  <si>
    <t>OOCU7988362</t>
  </si>
  <si>
    <t>LAZARO CARDENAS,RAIL-PANTACO(MEXICO CITY)</t>
  </si>
  <si>
    <t>IHE-26017</t>
  </si>
  <si>
    <t>FFAU3367862</t>
  </si>
  <si>
    <t>IHE-26018</t>
  </si>
  <si>
    <t>SEGU6838258</t>
  </si>
  <si>
    <t>IHE-26019</t>
  </si>
  <si>
    <t>UETU5469477</t>
  </si>
  <si>
    <t>IHE-26021</t>
  </si>
  <si>
    <t>TCKU7219305</t>
  </si>
  <si>
    <t>EXW FEE</t>
  </si>
  <si>
    <t>HHB-26001</t>
  </si>
  <si>
    <t>HABIB HASBANI</t>
  </si>
  <si>
    <t>MLO-HHB</t>
  </si>
  <si>
    <t>SKIU9100097</t>
  </si>
  <si>
    <t>HHB-26002</t>
  </si>
  <si>
    <t>SEKU5891041</t>
  </si>
  <si>
    <t>HHB-26003</t>
  </si>
  <si>
    <t>MSDU6194177</t>
  </si>
  <si>
    <t>XIAMEN</t>
  </si>
  <si>
    <t>HHB-26004</t>
  </si>
  <si>
    <t>MSMU7576247</t>
  </si>
  <si>
    <t>HHB-26005</t>
  </si>
  <si>
    <t>MSMU4428441</t>
  </si>
  <si>
    <t>HHB-26006</t>
  </si>
  <si>
    <t>ONEU6065704</t>
  </si>
  <si>
    <t>HHB-26007</t>
  </si>
  <si>
    <t>BMOU6476444</t>
  </si>
  <si>
    <t>HHB-26009</t>
  </si>
  <si>
    <t xml:space="preserve">MSDU5291510
</t>
  </si>
  <si>
    <t>HHB-26008</t>
  </si>
  <si>
    <t>MSMU7948386</t>
  </si>
  <si>
    <t>HHB-26010</t>
  </si>
  <si>
    <t>CAAU4534132</t>
  </si>
  <si>
    <t>HHB-26011</t>
  </si>
  <si>
    <t>MSBU8306176</t>
  </si>
  <si>
    <t>PREVIO</t>
    <phoneticPr fontId="0" type="noConversion"/>
  </si>
  <si>
    <t>INSURANCE</t>
    <phoneticPr fontId="0" type="noConversion"/>
  </si>
  <si>
    <t>RED-26001</t>
  </si>
  <si>
    <t>SHLOMO GALOR</t>
  </si>
  <si>
    <t>TRHU6545840</t>
  </si>
  <si>
    <t>RED-26002</t>
  </si>
  <si>
    <t>TCNU4831461</t>
  </si>
  <si>
    <t>YANTIAN</t>
  </si>
  <si>
    <t>RED-26003</t>
  </si>
  <si>
    <t>EGSU1742058</t>
  </si>
  <si>
    <t>SHEKOU</t>
  </si>
  <si>
    <t>RED-26004</t>
  </si>
  <si>
    <t>MSDU8637905</t>
  </si>
  <si>
    <t>RED-26005</t>
  </si>
  <si>
    <t>TCLU4980508</t>
  </si>
  <si>
    <t>RED-26006</t>
  </si>
  <si>
    <t>MSMU8563012</t>
  </si>
  <si>
    <t>RED-26007</t>
  </si>
  <si>
    <t>EMCU1726823</t>
  </si>
  <si>
    <t>RED-26008</t>
  </si>
  <si>
    <t>CAIU7768374</t>
  </si>
  <si>
    <t>RED-26009</t>
  </si>
  <si>
    <t>TGBU6439824</t>
  </si>
  <si>
    <t>RED-26010</t>
  </si>
  <si>
    <t>TCNU7624581</t>
  </si>
  <si>
    <t>RED-26011</t>
  </si>
  <si>
    <t>ONEU6396003</t>
  </si>
  <si>
    <t>RED-26012</t>
  </si>
  <si>
    <t>MSMU7260449</t>
  </si>
  <si>
    <t>RED-26013</t>
  </si>
  <si>
    <t>ONEU4694354</t>
  </si>
  <si>
    <t>RED-26014</t>
  </si>
  <si>
    <t>ONEU4706223</t>
  </si>
  <si>
    <t>RED-26015</t>
  </si>
  <si>
    <t>ONEU4706178</t>
  </si>
  <si>
    <t>RED-26016</t>
  </si>
  <si>
    <t>TCNU6892846</t>
  </si>
  <si>
    <t>PREVIO</t>
  </si>
  <si>
    <t>INSURANCE</t>
  </si>
  <si>
    <t>MAN-26001</t>
  </si>
  <si>
    <t>DAVID MANN</t>
  </si>
  <si>
    <t>EMCU8556797</t>
  </si>
  <si>
    <t>MAN-26002</t>
  </si>
  <si>
    <t>EGSU6100301</t>
  </si>
  <si>
    <t>MAN-25071</t>
  </si>
  <si>
    <t>ONEU5419547</t>
  </si>
  <si>
    <t>MAN-25072</t>
  </si>
  <si>
    <t>TGBU4611908</t>
  </si>
  <si>
    <t>MAN-25073</t>
  </si>
  <si>
    <t>TRHU5579872</t>
  </si>
  <si>
    <t>MAN-25074</t>
  </si>
  <si>
    <t>NYKU4975420</t>
  </si>
  <si>
    <t>MAN-25075</t>
  </si>
  <si>
    <t>FFAU6678317</t>
  </si>
  <si>
    <t>MAN-26003</t>
  </si>
  <si>
    <t>FFAU6298739</t>
  </si>
  <si>
    <t>MAN-26004</t>
  </si>
  <si>
    <t>MEDU7453552</t>
  </si>
  <si>
    <t>MAN-26005</t>
  </si>
  <si>
    <t>MSNU5060867</t>
  </si>
  <si>
    <t>MAN-26006</t>
  </si>
  <si>
    <t>MSMU6363606</t>
  </si>
  <si>
    <t>MAN-26008</t>
  </si>
  <si>
    <t>GAOU7885662</t>
  </si>
  <si>
    <t>MAN-26007</t>
  </si>
  <si>
    <t>MSMU4309294</t>
  </si>
  <si>
    <t>MAN-26009</t>
  </si>
  <si>
    <t>TCLU9105736</t>
  </si>
  <si>
    <t>MAN-26010</t>
  </si>
  <si>
    <t>BEAU4270254</t>
  </si>
  <si>
    <t>MAN-26011</t>
  </si>
  <si>
    <t>MSDU6814093</t>
  </si>
  <si>
    <t>MAN-26012</t>
  </si>
  <si>
    <t>MSMU5832680</t>
  </si>
  <si>
    <t>MAN-26014</t>
  </si>
  <si>
    <t>MSCU5258099</t>
  </si>
  <si>
    <t>MAN-26013</t>
  </si>
  <si>
    <t>MEDU4348229</t>
  </si>
  <si>
    <t>MAN-26015</t>
  </si>
  <si>
    <t>CSGU6376418</t>
  </si>
  <si>
    <t>MAN-26016</t>
  </si>
  <si>
    <t>MSMU5969029</t>
  </si>
  <si>
    <t>MAN-26017</t>
  </si>
  <si>
    <t>UETU6710038</t>
  </si>
  <si>
    <t>MAN-26018</t>
  </si>
  <si>
    <t>MSBU6708279</t>
  </si>
  <si>
    <t>MAN-26019</t>
  </si>
  <si>
    <t>TXGU8368846</t>
  </si>
  <si>
    <t>MAN-26020</t>
  </si>
  <si>
    <t>TXGU5335556</t>
  </si>
  <si>
    <t>MAN-26021</t>
  </si>
  <si>
    <t>UETU8075121</t>
  </si>
  <si>
    <t>MAN-26022</t>
  </si>
  <si>
    <t>SELU4617080</t>
  </si>
  <si>
    <t>MAN-26023</t>
  </si>
  <si>
    <t>MSDU7947444</t>
  </si>
  <si>
    <t>MAN-26024</t>
  </si>
  <si>
    <t>MSDU7020170</t>
  </si>
  <si>
    <t>MAN-26025</t>
  </si>
  <si>
    <t>MSMU7433354</t>
  </si>
  <si>
    <t>MAN-26026</t>
  </si>
  <si>
    <t>TGBU4659820</t>
  </si>
  <si>
    <t>MAN-26027</t>
  </si>
  <si>
    <t>HMMU6266169</t>
  </si>
  <si>
    <t>MAN-26028</t>
  </si>
  <si>
    <t>MEDU7069172</t>
  </si>
  <si>
    <t>MAN-26029</t>
  </si>
  <si>
    <t>CAAU7378326</t>
  </si>
  <si>
    <t>MAN-26030</t>
  </si>
  <si>
    <t>TGHU9141250</t>
  </si>
  <si>
    <t>MAN-26037</t>
  </si>
  <si>
    <t>TRHU8497079</t>
  </si>
  <si>
    <t>MAN-26031</t>
  </si>
  <si>
    <t>CSGU6534961</t>
  </si>
  <si>
    <t>MAN-26032</t>
  </si>
  <si>
    <t>FFAU6723946</t>
  </si>
  <si>
    <t>MAN-26033</t>
  </si>
  <si>
    <t>TEMU7081993</t>
  </si>
  <si>
    <t>MAN-26034</t>
  </si>
  <si>
    <t>SEKU4396341</t>
  </si>
  <si>
    <t>MAN-26035</t>
  </si>
  <si>
    <t>TCNU4002877</t>
  </si>
  <si>
    <t>MAN-26036</t>
  </si>
  <si>
    <t>ONEU1951778</t>
  </si>
  <si>
    <t>MAN-26039</t>
  </si>
  <si>
    <t>TIIU5974830</t>
  </si>
  <si>
    <t>MAN-26038</t>
  </si>
  <si>
    <t>FFAU3036294</t>
  </si>
  <si>
    <t>PREVIO / INSURANCE</t>
  </si>
  <si>
    <t>ZAY-25009</t>
  </si>
  <si>
    <t>RUBEN ZAYAT</t>
  </si>
  <si>
    <t>YOSEF SENADO</t>
  </si>
  <si>
    <t>MRSU7032351</t>
  </si>
  <si>
    <t>AZO-25012</t>
  </si>
  <si>
    <t>ABUD ZONANA</t>
  </si>
  <si>
    <t>KOCU4648528</t>
  </si>
  <si>
    <t>AZO-25013</t>
  </si>
  <si>
    <t>TRHU5862460</t>
  </si>
  <si>
    <t>ZAY-25010</t>
  </si>
  <si>
    <t>TCLU6370870</t>
  </si>
  <si>
    <t>ZZH-25029</t>
  </si>
  <si>
    <t>ALBERT JABAZ</t>
  </si>
  <si>
    <t>TRHU7318820</t>
  </si>
  <si>
    <t>GABRI-25005</t>
  </si>
  <si>
    <t>GABIREL CATTAN</t>
  </si>
  <si>
    <t>HMMU6801563</t>
  </si>
  <si>
    <t>AZO-26001</t>
  </si>
  <si>
    <t>HMMU6232554</t>
  </si>
  <si>
    <t>SSA-25002</t>
  </si>
  <si>
    <t>SAMUEL SACAL</t>
  </si>
  <si>
    <t>EGHU9760223</t>
  </si>
  <si>
    <t>YTM-25011</t>
  </si>
  <si>
    <t>MARCOS TUACHI (HIJO)</t>
  </si>
  <si>
    <t>EITU1800573</t>
  </si>
  <si>
    <t>GABRI-26001</t>
  </si>
  <si>
    <t>MRSU5813252</t>
  </si>
  <si>
    <t>GAC-26001</t>
  </si>
  <si>
    <t>TGBU4341124</t>
  </si>
  <si>
    <t>GAC-26002</t>
  </si>
  <si>
    <t>TGBU8881157</t>
  </si>
  <si>
    <t>GABRI-25006</t>
  </si>
  <si>
    <t>XYLU8240489</t>
  </si>
  <si>
    <t>K-25043</t>
  </si>
  <si>
    <t>LEON KUBURSI</t>
  </si>
  <si>
    <t>ONEU1199850</t>
  </si>
  <si>
    <t>HASB-26001</t>
  </si>
  <si>
    <t>ZUZU HASBANI</t>
  </si>
  <si>
    <t>TCLU9467756</t>
  </si>
  <si>
    <t>ZAY-26003</t>
  </si>
  <si>
    <t>ONEU0131413</t>
  </si>
  <si>
    <t>GAC-26004</t>
  </si>
  <si>
    <t>EGSU1789311</t>
  </si>
  <si>
    <t>GAC-26005</t>
  </si>
  <si>
    <t>EMCU8560312</t>
  </si>
  <si>
    <t>ZAY-26001</t>
  </si>
  <si>
    <t>KOCU4146896</t>
  </si>
  <si>
    <t>M-26001</t>
  </si>
  <si>
    <t>MARCO TUACHI</t>
  </si>
  <si>
    <t>FCIU9962113</t>
  </si>
  <si>
    <t>M-26002</t>
  </si>
  <si>
    <t>ONEU6234208</t>
  </si>
  <si>
    <t>M-26003</t>
  </si>
  <si>
    <t>ONEU6233984</t>
  </si>
  <si>
    <t>MOYA-26001</t>
  </si>
  <si>
    <t>Moy Askenazi</t>
  </si>
  <si>
    <t>MAGU5502372</t>
  </si>
  <si>
    <t>MOYA-26002</t>
  </si>
  <si>
    <t>CBHU7016295</t>
  </si>
  <si>
    <t>ZAY-26005</t>
  </si>
  <si>
    <t>CSGU6065904</t>
  </si>
  <si>
    <t>GAC-26003</t>
  </si>
  <si>
    <t>HMMU4199523</t>
  </si>
  <si>
    <t>GABRI-26002</t>
  </si>
  <si>
    <t>SUDU6922121</t>
  </si>
  <si>
    <t>ZAY-26004</t>
  </si>
  <si>
    <t>MSDU5031200</t>
  </si>
  <si>
    <t>AZO-26005</t>
  </si>
  <si>
    <t>CAAU5840034</t>
  </si>
  <si>
    <t>M-26004</t>
  </si>
  <si>
    <t>MSMU7112312</t>
  </si>
  <si>
    <t>M-26005</t>
  </si>
  <si>
    <t>MSMU5241368</t>
  </si>
  <si>
    <t>M-26006</t>
  </si>
  <si>
    <t>MSDU5596309</t>
  </si>
  <si>
    <t>GABRI-26003</t>
  </si>
  <si>
    <t>MSMU5213453</t>
  </si>
  <si>
    <t>ZAY-26007</t>
  </si>
  <si>
    <t>MSDU6265183</t>
  </si>
  <si>
    <t>AZO-26006</t>
  </si>
  <si>
    <t>MSMU8952185</t>
  </si>
  <si>
    <t>MOYA-26003</t>
  </si>
  <si>
    <t>TCNU6135647</t>
  </si>
  <si>
    <t>SEL-26001</t>
  </si>
  <si>
    <t>SELIM JABAZ</t>
  </si>
  <si>
    <t>MSMU4382340</t>
  </si>
  <si>
    <t>SEL-26002</t>
  </si>
  <si>
    <t>MSDU6811392</t>
  </si>
  <si>
    <t>ZUT-26001</t>
  </si>
  <si>
    <t>Ezra Tussie</t>
  </si>
  <si>
    <t>HASU5194760</t>
  </si>
  <si>
    <t>YABRA-26001</t>
  </si>
  <si>
    <t>ISAAC URIEL</t>
  </si>
  <si>
    <t>EMCU9902261</t>
  </si>
  <si>
    <t>SEL-26003</t>
  </si>
  <si>
    <t>MSDU7260680</t>
  </si>
  <si>
    <t>ZAY-26002</t>
  </si>
  <si>
    <t>KOCU4750186</t>
  </si>
  <si>
    <t>ZAY-26008</t>
  </si>
  <si>
    <t>HMMU4256602</t>
  </si>
  <si>
    <t>M-26004A</t>
  </si>
  <si>
    <t>FCIU5377635</t>
  </si>
  <si>
    <t>M-26009</t>
  </si>
  <si>
    <t>MRKU8646500</t>
  </si>
  <si>
    <t>YTM-26002</t>
  </si>
  <si>
    <t xml:space="preserve">MARCOS TUACHI (HIJO) </t>
  </si>
  <si>
    <t>TLLU5199592</t>
  </si>
  <si>
    <t>MOYA-26004</t>
  </si>
  <si>
    <t>CSNU8426672</t>
  </si>
  <si>
    <t>YTM-26001</t>
  </si>
  <si>
    <t>KOCU4186409</t>
  </si>
  <si>
    <t>GABRI-26004</t>
  </si>
  <si>
    <t>HMMU6563594</t>
  </si>
  <si>
    <t>M-26010</t>
  </si>
  <si>
    <t>UETU8102166</t>
  </si>
  <si>
    <t>ZAY-26006</t>
  </si>
  <si>
    <t>BMOU5885453</t>
  </si>
  <si>
    <t>ZAY-26009</t>
  </si>
  <si>
    <t>MRKU5326251</t>
  </si>
  <si>
    <t>ZAY-26010</t>
  </si>
  <si>
    <t>MRKU3893718</t>
  </si>
  <si>
    <t>M-26007</t>
  </si>
  <si>
    <t>MEDU7620238</t>
  </si>
  <si>
    <t>M-26008</t>
  </si>
  <si>
    <t>BMOU6757014</t>
  </si>
  <si>
    <t>DAM-26001</t>
  </si>
  <si>
    <t>DAVID MICHAN</t>
  </si>
  <si>
    <t>MRSU4611637</t>
  </si>
  <si>
    <t>DAM-26002</t>
  </si>
  <si>
    <t>CAAU8251547</t>
  </si>
  <si>
    <t>M-26011</t>
  </si>
  <si>
    <t>MEDU7806557</t>
  </si>
  <si>
    <t>M-26012</t>
  </si>
  <si>
    <t>BMOU5502451</t>
  </si>
  <si>
    <t>ZAY-26011</t>
  </si>
  <si>
    <t>MSDU7696800</t>
  </si>
  <si>
    <t>ZAY-26012</t>
  </si>
  <si>
    <t>KOCU4971696</t>
  </si>
  <si>
    <t>ZAY-26013</t>
  </si>
  <si>
    <t>HMMU6144068</t>
  </si>
  <si>
    <t>M-26013</t>
  </si>
  <si>
    <t>MSNU5026250</t>
  </si>
  <si>
    <t>M-26015</t>
  </si>
  <si>
    <t>MSDU7434713</t>
  </si>
  <si>
    <t>M-26017</t>
  </si>
  <si>
    <t>MSCU5420342</t>
  </si>
  <si>
    <t>SEL-26005</t>
  </si>
  <si>
    <t>EGSU1461678</t>
  </si>
  <si>
    <t>ZAY-26016</t>
  </si>
  <si>
    <t>MRSU7423124</t>
  </si>
  <si>
    <t>M-26014</t>
  </si>
  <si>
    <t>FFAU2970320</t>
  </si>
  <si>
    <t>ZAY-26018</t>
  </si>
  <si>
    <t>CSNU8547777</t>
  </si>
  <si>
    <t>SEL-26004</t>
  </si>
  <si>
    <t>MSNU6703150</t>
  </si>
  <si>
    <t>ZAY-26014</t>
  </si>
  <si>
    <t>TIIU5210299</t>
  </si>
  <si>
    <t>AZO-26002</t>
  </si>
  <si>
    <t>MSNU8935176</t>
  </si>
  <si>
    <t>GAC-26006</t>
  </si>
  <si>
    <t>CSGU6391460</t>
  </si>
  <si>
    <t>M-26018</t>
  </si>
  <si>
    <t>OOCU9923550</t>
  </si>
  <si>
    <t>ZAY-26015</t>
  </si>
  <si>
    <t>BEAU5089153</t>
  </si>
  <si>
    <t>GABRI-26006</t>
  </si>
  <si>
    <t>BMOU4606512</t>
  </si>
  <si>
    <t>GABRI-26005</t>
  </si>
  <si>
    <t>CARU9787364</t>
  </si>
  <si>
    <t>AZO-26003</t>
  </si>
  <si>
    <t>MSNU7198114</t>
  </si>
  <si>
    <t>M-26019</t>
  </si>
  <si>
    <t>TGBU7481813</t>
  </si>
  <si>
    <t>M-26016</t>
  </si>
  <si>
    <t>EGSU1726951</t>
  </si>
  <si>
    <t>KOLKATA, INDIA</t>
  </si>
  <si>
    <t>HASB-26003</t>
  </si>
  <si>
    <t>UETU8252952</t>
  </si>
  <si>
    <t>ZAY-26019</t>
  </si>
  <si>
    <t>TCLU5751229</t>
  </si>
  <si>
    <t>SEL-26008</t>
  </si>
  <si>
    <t>MEDU4440211</t>
  </si>
  <si>
    <t>MOYA-26005</t>
  </si>
  <si>
    <t>MSBU5486120</t>
  </si>
  <si>
    <t>ZAY-26017</t>
  </si>
  <si>
    <t>TGBU9600383</t>
  </si>
  <si>
    <t>ZUT-26002</t>
  </si>
  <si>
    <t>TCLU9772826</t>
  </si>
  <si>
    <t>SEL-26009</t>
  </si>
  <si>
    <t>MRKU3036649</t>
  </si>
  <si>
    <t>SEL-26010</t>
  </si>
  <si>
    <t>MRKU3196333</t>
  </si>
  <si>
    <t>ZAY-26023</t>
  </si>
  <si>
    <t>EGSU0098491</t>
  </si>
  <si>
    <t>AZO-26004</t>
  </si>
  <si>
    <t>EISU8377752</t>
  </si>
  <si>
    <t>SEL-26006</t>
  </si>
  <si>
    <t>BEAU5930440</t>
  </si>
  <si>
    <t>SEL-26007</t>
  </si>
  <si>
    <t>MEDU7547836</t>
  </si>
  <si>
    <t>M-26020</t>
  </si>
  <si>
    <t>MRKU8128774</t>
  </si>
  <si>
    <t>ZAY-26022</t>
  </si>
  <si>
    <t>EITU1543578</t>
  </si>
  <si>
    <t>ZAY-26021</t>
  </si>
  <si>
    <t>MRSU7442654</t>
  </si>
  <si>
    <t>AZO-26007</t>
  </si>
  <si>
    <t>HMMU4019874</t>
  </si>
  <si>
    <t>SEL-26011</t>
  </si>
  <si>
    <t>MSMU4374411</t>
  </si>
  <si>
    <t>ZAY-26024</t>
  </si>
  <si>
    <t>KOCU5072864</t>
  </si>
  <si>
    <t>SEGL-26001</t>
  </si>
  <si>
    <t>Esther Cureno</t>
  </si>
  <si>
    <t>TCKU7862353</t>
  </si>
  <si>
    <t>ZAY-26020</t>
  </si>
  <si>
    <t>MSMU7230700</t>
  </si>
  <si>
    <t>M-ZUZU-260001</t>
  </si>
  <si>
    <t>KOBI-ZUZU</t>
  </si>
  <si>
    <t>NYKU4425492</t>
  </si>
  <si>
    <t>SSA-26001</t>
  </si>
  <si>
    <t>ONEU6738960</t>
  </si>
  <si>
    <t>SEL-26013</t>
  </si>
  <si>
    <t>MSNU9771842</t>
  </si>
  <si>
    <t>M-26023</t>
  </si>
  <si>
    <t>MSDU6908593</t>
  </si>
  <si>
    <t>SEL-26012</t>
  </si>
  <si>
    <t>TRHU8474094</t>
  </si>
  <si>
    <t>M-26021</t>
  </si>
  <si>
    <t>TLLU3261750</t>
  </si>
  <si>
    <t>IS-SHIFF-26001</t>
  </si>
  <si>
    <t xml:space="preserve">Cristóbal </t>
  </si>
  <si>
    <t>EMCU8754895</t>
  </si>
  <si>
    <t>HASB-26004</t>
  </si>
  <si>
    <t>TXGU5343947</t>
  </si>
  <si>
    <t>SEL-26015</t>
  </si>
  <si>
    <t>TGBU7981207</t>
  </si>
  <si>
    <t>ZUT-26003</t>
  </si>
  <si>
    <t>FFAU1458557</t>
  </si>
  <si>
    <t>ZUZU-26001</t>
  </si>
  <si>
    <t>ZUZU HABAZ</t>
  </si>
  <si>
    <t>FFAU4052094</t>
  </si>
  <si>
    <t>AZO-26008</t>
  </si>
  <si>
    <t>MSDU6263679</t>
  </si>
  <si>
    <t>GABRI-26007</t>
  </si>
  <si>
    <t>HMMU4132160</t>
  </si>
  <si>
    <t>MOYA-26006</t>
  </si>
  <si>
    <t>MSNU9604737</t>
  </si>
  <si>
    <t>PAT-26002</t>
  </si>
  <si>
    <t>TXGU4265407</t>
  </si>
  <si>
    <t>SEL-26014</t>
  </si>
  <si>
    <t>ONEU0993721</t>
  </si>
  <si>
    <t>ZAY-26025</t>
  </si>
  <si>
    <t>UACU6004530</t>
  </si>
  <si>
    <t>HPL</t>
  </si>
  <si>
    <t>ZAY-26026</t>
  </si>
  <si>
    <t>EGSU1380154</t>
  </si>
  <si>
    <t>ZAY-26027</t>
  </si>
  <si>
    <t>MSNU9316094</t>
  </si>
  <si>
    <t>ZAY-26028</t>
  </si>
  <si>
    <t>MEDU7391379</t>
  </si>
  <si>
    <t>ZAY-26030</t>
  </si>
  <si>
    <t>MSBU7152625</t>
  </si>
  <si>
    <t>NHAVA SHEVA, INDIA</t>
  </si>
  <si>
    <t>AZO-26009</t>
  </si>
  <si>
    <t>EITU8121260</t>
  </si>
  <si>
    <t>AZO-26010</t>
  </si>
  <si>
    <t>FCIU7533207</t>
  </si>
  <si>
    <t>HASB-26002</t>
  </si>
  <si>
    <t>CAAU8104016</t>
  </si>
  <si>
    <t>IS-SHIFF-26002</t>
  </si>
  <si>
    <t>CAIU9501200</t>
  </si>
  <si>
    <t>IS-SHIFF-26003</t>
  </si>
  <si>
    <t>GAOU6522960</t>
  </si>
  <si>
    <t>M-26025</t>
  </si>
  <si>
    <t>TXGU4307040</t>
  </si>
  <si>
    <t>ZUT-26004</t>
  </si>
  <si>
    <t>MSNU6834572</t>
  </si>
  <si>
    <t>ZUZU-26002</t>
  </si>
  <si>
    <t>BEAU5906947</t>
  </si>
  <si>
    <t>AZO-26011</t>
  </si>
  <si>
    <t>EITU8204473</t>
  </si>
  <si>
    <t>GABRI-26010</t>
  </si>
  <si>
    <t>HMMU6165800</t>
  </si>
  <si>
    <t>HASB-26005</t>
  </si>
  <si>
    <t>CAAU7205486</t>
  </si>
  <si>
    <t>SEL-26018</t>
  </si>
  <si>
    <t>MSDU5180137</t>
  </si>
  <si>
    <t>SEL-26017</t>
  </si>
  <si>
    <t>MSBU8268097</t>
  </si>
  <si>
    <t>YOM-26001</t>
  </si>
  <si>
    <t>Yom Tov Michan Tuachi</t>
  </si>
  <si>
    <t>MSNU1897454</t>
  </si>
  <si>
    <t>ZAY-26029</t>
  </si>
  <si>
    <t>MSMU6674892</t>
  </si>
  <si>
    <t>ZAY-26031</t>
  </si>
  <si>
    <t>MSMU7292298</t>
  </si>
  <si>
    <t>NSA-26001</t>
  </si>
  <si>
    <t>NISO SALAME</t>
  </si>
  <si>
    <t>TCNU6010022</t>
  </si>
  <si>
    <t>HASB-26006</t>
  </si>
  <si>
    <t>CAAU5841160</t>
  </si>
  <si>
    <t>HASB-26007</t>
  </si>
  <si>
    <t>HMMU4758370</t>
  </si>
  <si>
    <t>HASB-26008</t>
  </si>
  <si>
    <t>TIIU4420053</t>
  </si>
  <si>
    <t>YOM-26002</t>
  </si>
  <si>
    <t>SEGU6125088</t>
  </si>
  <si>
    <t>ZZH-26002</t>
  </si>
  <si>
    <t>Albert Jabaz</t>
  </si>
  <si>
    <t>MSNU7054204</t>
  </si>
  <si>
    <t>HASB-26009</t>
  </si>
  <si>
    <t>TGBU8808109</t>
  </si>
  <si>
    <t>M-26022</t>
  </si>
  <si>
    <t>HAMU3009114</t>
  </si>
  <si>
    <t>ZUT-26005</t>
  </si>
  <si>
    <t>CSNU7226962</t>
  </si>
  <si>
    <t>ZZH-26001</t>
  </si>
  <si>
    <t>EGHU9394844</t>
  </si>
  <si>
    <t>NHAVA SHIVA</t>
  </si>
  <si>
    <t>ZAY-26032</t>
  </si>
  <si>
    <t>MSDU5755988</t>
  </si>
  <si>
    <t>ZAY-26033</t>
  </si>
  <si>
    <t>MSDU5832750</t>
  </si>
  <si>
    <t>ZAY-26034</t>
  </si>
  <si>
    <t>MSMU4181027</t>
  </si>
  <si>
    <t>M-26026</t>
  </si>
  <si>
    <t>TGBU5592660</t>
  </si>
  <si>
    <t>M-26027</t>
  </si>
  <si>
    <t>MSBU5557157</t>
  </si>
  <si>
    <t>SEL-26022</t>
  </si>
  <si>
    <t>FFAU4284720</t>
  </si>
  <si>
    <t>SEL-26019</t>
  </si>
  <si>
    <t>TXGU6784696</t>
  </si>
  <si>
    <t>SEL-26016</t>
  </si>
  <si>
    <t>MSMU7464653</t>
  </si>
  <si>
    <t>ZZH-26006</t>
  </si>
  <si>
    <t>MSMU5555137</t>
  </si>
  <si>
    <t>ZZH-26007</t>
  </si>
  <si>
    <t>MSCU5140491</t>
  </si>
  <si>
    <t>ZZH-26013</t>
  </si>
  <si>
    <t>TEMU8300000</t>
  </si>
  <si>
    <t>SEL-26024</t>
  </si>
  <si>
    <t>CRSU9210679</t>
  </si>
  <si>
    <t>HASB-26010</t>
  </si>
  <si>
    <t>CAAU9503920</t>
  </si>
  <si>
    <t>HASB-26011</t>
  </si>
  <si>
    <t>MSMU4112221</t>
  </si>
  <si>
    <t>IS-SHIFF-26004</t>
  </si>
  <si>
    <t>Cristóbal</t>
  </si>
  <si>
    <t>MSCU5087885</t>
  </si>
  <si>
    <t>SEL-26020</t>
  </si>
  <si>
    <t>FFAU2220795</t>
  </si>
  <si>
    <t>SEL-26023</t>
  </si>
  <si>
    <t>TCLU1624437</t>
  </si>
  <si>
    <t>ZZH-26003</t>
  </si>
  <si>
    <t>FSCU8106019</t>
  </si>
  <si>
    <t>ZZH-26004</t>
  </si>
  <si>
    <t>OOLU9985477</t>
  </si>
  <si>
    <t>ZZH-26008</t>
  </si>
  <si>
    <t>BMOU6131864</t>
  </si>
  <si>
    <t>ZZH-26010</t>
  </si>
  <si>
    <t>MSDU5720209</t>
  </si>
  <si>
    <t>ZZH-26014</t>
  </si>
  <si>
    <t>MEDU7689300</t>
  </si>
  <si>
    <t>HASB-26012</t>
  </si>
  <si>
    <t>FFAU1707602</t>
  </si>
  <si>
    <t>SEL-26025</t>
  </si>
  <si>
    <t>MSBU8045160</t>
  </si>
  <si>
    <t>SSA-26002</t>
  </si>
  <si>
    <t>FFAU3251907</t>
  </si>
  <si>
    <t>AFH-26001</t>
  </si>
  <si>
    <t>BW</t>
  </si>
  <si>
    <t>CSNU7950509</t>
  </si>
  <si>
    <t>ELIAS-26001</t>
  </si>
  <si>
    <t>ELIAS NAGAR CHEREM</t>
  </si>
  <si>
    <t>EMCU8745912</t>
  </si>
  <si>
    <t>ELIAS-26002</t>
  </si>
  <si>
    <t>EMCU0186720</t>
  </si>
  <si>
    <t>IS-SHIFF-26005</t>
  </si>
  <si>
    <t>MIEU3620800</t>
  </si>
  <si>
    <t>NANSHA</t>
  </si>
  <si>
    <t>IS-SHIFF-26006</t>
  </si>
  <si>
    <t>MIEU3620328</t>
  </si>
  <si>
    <t>MTC-26002</t>
  </si>
  <si>
    <t>Moshe Tuachi</t>
  </si>
  <si>
    <t>OOCU5688941</t>
  </si>
  <si>
    <t>SEL-26021</t>
  </si>
  <si>
    <t>OOCU6017486</t>
  </si>
  <si>
    <t>SEL-26026</t>
  </si>
  <si>
    <t>MSDU8354823</t>
  </si>
  <si>
    <t>SFD-26002</t>
  </si>
  <si>
    <t>SFD</t>
  </si>
  <si>
    <t>MSDU5939579</t>
  </si>
  <si>
    <t>ZZH-26005</t>
  </si>
  <si>
    <t>CAAU5347706</t>
  </si>
  <si>
    <t>TUTICORIN</t>
  </si>
  <si>
    <t>ZZH-26009</t>
  </si>
  <si>
    <t>MSDU6130676</t>
  </si>
  <si>
    <t>ZZH-26015</t>
  </si>
  <si>
    <t>MSBU8764029</t>
  </si>
  <si>
    <t>ZZH-26018</t>
  </si>
  <si>
    <t>MSNU5030625</t>
  </si>
  <si>
    <t>ZZH-26019</t>
  </si>
  <si>
    <t>FFAU2919735</t>
  </si>
  <si>
    <t>AZO-26013</t>
  </si>
  <si>
    <t>OOCU7941703</t>
  </si>
  <si>
    <t>OOCL</t>
  </si>
  <si>
    <t>SFD-26001</t>
  </si>
  <si>
    <t>OOLU8909831</t>
  </si>
  <si>
    <t>ZAY-26038</t>
  </si>
  <si>
    <t>OOCU8381157</t>
  </si>
  <si>
    <t>ZAY-26035</t>
  </si>
  <si>
    <t>MSBU7981204</t>
  </si>
  <si>
    <t>M-26028</t>
  </si>
  <si>
    <t>MSMU4460037</t>
  </si>
  <si>
    <t>AZO-26012</t>
  </si>
  <si>
    <t>SELU4830917</t>
  </si>
  <si>
    <t>MTC-26003
&gt;&gt;&gt;REBE-26008</t>
  </si>
  <si>
    <t>MSMU4747285</t>
  </si>
  <si>
    <t>M-26029</t>
  </si>
  <si>
    <t>MSMU4023206</t>
  </si>
  <si>
    <t>ZAY-26037</t>
  </si>
  <si>
    <t>MRSU3787154</t>
  </si>
  <si>
    <t>ZZH-26017</t>
  </si>
  <si>
    <t>MSNU5687435</t>
  </si>
  <si>
    <t>ZZH-26020</t>
  </si>
  <si>
    <t>CAAU9484029</t>
  </si>
  <si>
    <t>SEL-26029</t>
  </si>
  <si>
    <t>TLLU8580365</t>
  </si>
  <si>
    <t>ZZH-26021</t>
  </si>
  <si>
    <t>MSDU6756295</t>
  </si>
  <si>
    <t>SEL-26030</t>
  </si>
  <si>
    <t>MSDU5343548</t>
  </si>
  <si>
    <t>GABRI-26016</t>
  </si>
  <si>
    <t>TCLU4978305</t>
  </si>
  <si>
    <t>SEL-26027</t>
  </si>
  <si>
    <t>CAAU5438956</t>
  </si>
  <si>
    <t>HOLLY26006</t>
  </si>
  <si>
    <t>ISAAC ELIYASI</t>
  </si>
  <si>
    <t>OOCU9199390</t>
  </si>
  <si>
    <t>HOLLY26008</t>
  </si>
  <si>
    <t>CRSU9181945</t>
  </si>
  <si>
    <t>HOLLY26005</t>
  </si>
  <si>
    <t>PIDU4725092</t>
  </si>
  <si>
    <t>PIL</t>
  </si>
  <si>
    <t>HOLLY26007</t>
  </si>
  <si>
    <t>CSGU6075651</t>
  </si>
  <si>
    <t>HOLLY26009</t>
  </si>
  <si>
    <t>OOCU8214458</t>
  </si>
  <si>
    <t>HOLLY26016</t>
  </si>
  <si>
    <t>MEDU7090380</t>
  </si>
  <si>
    <t>HOLLY26011</t>
  </si>
  <si>
    <t>OOCU8813327</t>
  </si>
  <si>
    <t>HOLLY26012</t>
  </si>
  <si>
    <t>GCXU5160895</t>
  </si>
  <si>
    <t>HOLLY26015</t>
  </si>
  <si>
    <t>MIEU3415827</t>
  </si>
  <si>
    <t>HOLLY26017</t>
  </si>
  <si>
    <t>CSNU7242731</t>
  </si>
  <si>
    <t>HOLLY26010</t>
  </si>
  <si>
    <t>OOCU9071773</t>
  </si>
  <si>
    <t>HOLLY26013</t>
  </si>
  <si>
    <t>EITU9250452</t>
  </si>
  <si>
    <t>HOLLY26014</t>
  </si>
  <si>
    <t>MIEU3466995</t>
  </si>
  <si>
    <t>ABL-26001</t>
  </si>
  <si>
    <t>ABL</t>
  </si>
  <si>
    <t>MSMU5101387</t>
  </si>
  <si>
    <t>HASB-26013</t>
  </si>
  <si>
    <t>TCKU6843770</t>
  </si>
  <si>
    <t>SEL-26028</t>
  </si>
  <si>
    <t>TGBU5505120</t>
  </si>
  <si>
    <t>SEL-26032</t>
  </si>
  <si>
    <t>CAIU7229367</t>
  </si>
  <si>
    <t>SEL-26033</t>
  </si>
  <si>
    <t>TXTU4041558</t>
  </si>
  <si>
    <t>SEL-26034</t>
  </si>
  <si>
    <t>MRKU4414553</t>
  </si>
  <si>
    <t>ZZH-26016</t>
  </si>
  <si>
    <t>FFAU7708329</t>
  </si>
  <si>
    <t>ZZH-26023</t>
  </si>
  <si>
    <t>GCXU5530496</t>
  </si>
  <si>
    <t>HOLLY26018</t>
  </si>
  <si>
    <t>OOCU6933431</t>
  </si>
  <si>
    <t>AZO-26014</t>
  </si>
  <si>
    <t>TCLU9788988</t>
  </si>
  <si>
    <t>AZO-26015</t>
  </si>
  <si>
    <t>CSNU5697156</t>
  </si>
  <si>
    <t>M-26030</t>
  </si>
  <si>
    <t>MARCOS TUACHI</t>
  </si>
  <si>
    <t>MRKU3745177</t>
  </si>
  <si>
    <t>M-26031</t>
  </si>
  <si>
    <t>MSNU6020750</t>
  </si>
  <si>
    <t>M-ZUZU-260053</t>
  </si>
  <si>
    <t>TCLU5186299</t>
  </si>
  <si>
    <t>SEL-26031</t>
  </si>
  <si>
    <t>CAIU9950156</t>
  </si>
  <si>
    <t>SEL-26035</t>
  </si>
  <si>
    <t>CSNU5643123</t>
  </si>
  <si>
    <t>SEL-26036</t>
  </si>
  <si>
    <t>CSGU6482852</t>
  </si>
  <si>
    <t>WKS-26001</t>
  </si>
  <si>
    <t>Jimmy Abadi</t>
  </si>
  <si>
    <t>TLLU4840546</t>
  </si>
  <si>
    <t>YHD-26001</t>
  </si>
  <si>
    <t>Yehuda Silberstein</t>
  </si>
  <si>
    <t>TEMU8636313</t>
  </si>
  <si>
    <t>YTM-26004</t>
  </si>
  <si>
    <t>MRKU4379093</t>
  </si>
  <si>
    <t>ZAY-26039</t>
  </si>
  <si>
    <t>TIIU5990533</t>
  </si>
  <si>
    <t>ZUT-26006</t>
  </si>
  <si>
    <t>MRKU3859816</t>
  </si>
  <si>
    <t>AZO-26016</t>
  </si>
  <si>
    <t>ONEU4494280</t>
  </si>
  <si>
    <t>HASB-26014</t>
  </si>
  <si>
    <t>MSDU5613113</t>
  </si>
  <si>
    <t>MOYA-26007</t>
  </si>
  <si>
    <t>MRKU6406120</t>
  </si>
  <si>
    <t>M-ZUZU-260048</t>
  </si>
  <si>
    <t>MSDU6764198</t>
  </si>
  <si>
    <t>M-ZUZU-260054</t>
  </si>
  <si>
    <t>MSDU5941581</t>
  </si>
  <si>
    <t>SEL-26037</t>
  </si>
  <si>
    <t>MSCU5457640</t>
  </si>
  <si>
    <t>SEL-26038</t>
  </si>
  <si>
    <t>MSMU6059316</t>
  </si>
  <si>
    <t>ZZH-26026</t>
  </si>
  <si>
    <t>MSMU7248736</t>
  </si>
  <si>
    <t>ZZH-26028</t>
  </si>
  <si>
    <t>TXGU8838092</t>
  </si>
  <si>
    <t>HASB-26015</t>
  </si>
  <si>
    <t>HDMU4924447</t>
  </si>
  <si>
    <t>IS-SHIFF-26007</t>
  </si>
  <si>
    <t>MRKU2989923</t>
  </si>
  <si>
    <t>IS-SHIFF-26008</t>
  </si>
  <si>
    <t>PRSU8856203</t>
  </si>
  <si>
    <t>TIANJIN XINGANG</t>
  </si>
  <si>
    <t>M-26032</t>
  </si>
  <si>
    <t xml:space="preserve">TLLU5963381
</t>
  </si>
  <si>
    <t>JIANGMEN</t>
  </si>
  <si>
    <t>M-26033</t>
  </si>
  <si>
    <t>SUDU8518762</t>
  </si>
  <si>
    <t>M-26034</t>
  </si>
  <si>
    <t>CSGU7007076</t>
  </si>
  <si>
    <t>YTM-26005</t>
  </si>
  <si>
    <t>CSGU6509850</t>
  </si>
  <si>
    <t>ZAY-26040</t>
  </si>
  <si>
    <t>MIEU4015110</t>
  </si>
  <si>
    <t>ZAY-26041</t>
  </si>
  <si>
    <t>MIEU4014407</t>
  </si>
  <si>
    <t>ZAY-26042</t>
  </si>
  <si>
    <t>MSDU7254959</t>
  </si>
  <si>
    <t>ZAY-26043</t>
  </si>
  <si>
    <t>KOCU4357923</t>
  </si>
  <si>
    <t>ZAY-26044</t>
  </si>
  <si>
    <t>TRHU8693913</t>
  </si>
  <si>
    <t>ZAY-26045</t>
  </si>
  <si>
    <t>KOCU4044641</t>
  </si>
  <si>
    <t>ZAY-26047</t>
  </si>
  <si>
    <t>FFAU5152375</t>
  </si>
  <si>
    <t>HOLLY26019</t>
  </si>
  <si>
    <t>HOLLY</t>
  </si>
  <si>
    <t>PIDU4128116</t>
  </si>
  <si>
    <t>M-26035</t>
  </si>
  <si>
    <t>MSNU5468545</t>
  </si>
  <si>
    <t>M-26037</t>
  </si>
  <si>
    <t>TRHU5095414</t>
  </si>
  <si>
    <t>M-26040</t>
  </si>
  <si>
    <t>OOCU5589933</t>
  </si>
  <si>
    <t>ZAY-26050</t>
  </si>
  <si>
    <t>FFAU7273186</t>
  </si>
  <si>
    <t>M-ABY-260057</t>
  </si>
  <si>
    <t>KOBI-ABY</t>
  </si>
  <si>
    <t>MSMU7306370</t>
  </si>
  <si>
    <t>ZZH-26029</t>
  </si>
  <si>
    <t>TLLU7573696</t>
  </si>
  <si>
    <t>HASB-26016</t>
  </si>
  <si>
    <t>TXGU4990281</t>
  </si>
  <si>
    <t>HASB-26017</t>
  </si>
  <si>
    <t>CAIU8735760</t>
  </si>
  <si>
    <t>WKS-26002</t>
  </si>
  <si>
    <t>HDMU4927235</t>
  </si>
  <si>
    <t>WKS-26003</t>
  </si>
  <si>
    <t>TCNU5053251</t>
  </si>
  <si>
    <t>YTM-26003</t>
  </si>
  <si>
    <t>YAACOB TUACHI</t>
  </si>
  <si>
    <t xml:space="preserve">ANHERST </t>
  </si>
  <si>
    <t>TCLU5920294</t>
  </si>
  <si>
    <t>Total Cost</t>
  </si>
  <si>
    <t xml:space="preserve"> AMEND FEE</t>
  </si>
  <si>
    <t xml:space="preserve"> </t>
  </si>
  <si>
    <t>CAVANA-25022/FANG3</t>
  </si>
  <si>
    <t>SWB</t>
  </si>
  <si>
    <t>FFAU2699728</t>
  </si>
  <si>
    <t>LONG BEACH</t>
  </si>
  <si>
    <t>CAVANA-25021/C6</t>
  </si>
  <si>
    <t>OOCU7085973</t>
  </si>
  <si>
    <t>STRANGER-25012/C7</t>
  </si>
  <si>
    <t>MSKU4753332</t>
  </si>
  <si>
    <t>NHAVA SHEVA,INDIA</t>
  </si>
  <si>
    <t>LOS ANGELES,CA</t>
  </si>
  <si>
    <t>STRANGER-25013/C8</t>
  </si>
  <si>
    <t>MAEU9261070</t>
  </si>
  <si>
    <t>CAVANA-26001/FANG4</t>
  </si>
  <si>
    <t>TCLU8603159</t>
  </si>
  <si>
    <t>CAVANA-26002/C9</t>
  </si>
  <si>
    <t>FSCU7074684</t>
  </si>
  <si>
    <t>CAVANA-26003/FANG5</t>
  </si>
  <si>
    <t>DRYU4510031</t>
  </si>
  <si>
    <t>CAVANA-26005/FANG7</t>
  </si>
  <si>
    <t>CXDU2110219</t>
  </si>
  <si>
    <t>STRANGER-26001/C10</t>
  </si>
  <si>
    <t>MAEU9240139</t>
  </si>
  <si>
    <t>CAVANA-26007/C12</t>
  </si>
  <si>
    <t>ECMU8189428</t>
  </si>
  <si>
    <t>CAVANA-26008/FANG8</t>
  </si>
  <si>
    <t>RFCU4045605</t>
  </si>
  <si>
    <t>CAVANA-26006/C11</t>
  </si>
  <si>
    <t>ECMU8194553</t>
  </si>
  <si>
    <t>CAVANA-26004/FANG6</t>
  </si>
  <si>
    <t>ECMU8194105</t>
  </si>
  <si>
    <t>CAVANA-26009/C13</t>
  </si>
  <si>
    <t>CMAU5626408</t>
  </si>
  <si>
    <t>STRANGER-26002/C14</t>
  </si>
  <si>
    <t>HASU5137883</t>
  </si>
  <si>
    <t>STRANGER-26003/C15</t>
  </si>
  <si>
    <t>MRSU5172652</t>
  </si>
  <si>
    <t>CAVANA-26010/C16</t>
  </si>
  <si>
    <t>CXDU2109291</t>
  </si>
  <si>
    <t>STRANGER-26004/C17</t>
  </si>
  <si>
    <t>MRKU2540090</t>
  </si>
  <si>
    <t>STRANGER-26005/C18</t>
  </si>
  <si>
    <t>MRKU2128020</t>
  </si>
  <si>
    <t>CAVANA-26011/C19</t>
  </si>
  <si>
    <t>SEGU5936558</t>
  </si>
  <si>
    <t>CAVANA-26012/C20</t>
  </si>
  <si>
    <t>ONEU7067893</t>
  </si>
  <si>
    <t>STRANGER-26006/C21</t>
  </si>
  <si>
    <t>CMAU9435159</t>
  </si>
  <si>
    <t>NHAVA SHEVA</t>
  </si>
  <si>
    <t>CAVANA-26013/C22</t>
  </si>
  <si>
    <t>KKFU9167614</t>
  </si>
  <si>
    <t>STRANGER-26007/C23</t>
  </si>
  <si>
    <t>GCXU5214266</t>
  </si>
  <si>
    <t>CAVANA-26014/C24</t>
  </si>
  <si>
    <t>MOEU1408734</t>
  </si>
  <si>
    <t>CAVANA-26015/C25</t>
  </si>
  <si>
    <t>KKFU9150273</t>
  </si>
  <si>
    <t>CAVANA-26016/C27</t>
  </si>
  <si>
    <t>ONEU7045030</t>
  </si>
  <si>
    <t>STRANGER-26010/C29</t>
  </si>
  <si>
    <t>TLLU7614692</t>
  </si>
  <si>
    <t>CAVANA-26018/C31</t>
  </si>
  <si>
    <t>WHSU9016236</t>
  </si>
  <si>
    <t>WHL</t>
  </si>
  <si>
    <t>CAVANA-26017/C30</t>
  </si>
  <si>
    <t>OOLU9068040</t>
  </si>
  <si>
    <t>CAVANA-26020/FANG26</t>
  </si>
  <si>
    <t>CSNU9530526</t>
  </si>
  <si>
    <t>CAVANA-26021/FANG27</t>
  </si>
  <si>
    <t>CXDU2220900</t>
  </si>
  <si>
    <t>CAVANA-26023/FANG29</t>
  </si>
  <si>
    <t>CXDU2230955</t>
  </si>
  <si>
    <t>CAVANA-26024/FANG28</t>
  </si>
  <si>
    <t>OOLU5393799</t>
  </si>
  <si>
    <t>CAVANA-26025/FANG30</t>
  </si>
  <si>
    <t>CXDU2189532</t>
  </si>
  <si>
    <t>CAVANA-26027/FANG31</t>
  </si>
  <si>
    <t>CXDU2200204</t>
  </si>
  <si>
    <t>STRANGER-26008/C26</t>
  </si>
  <si>
    <t>MAEU9221545</t>
  </si>
  <si>
    <t>CAVANA-26019/C32</t>
  </si>
  <si>
    <t>CSNU9521653</t>
  </si>
  <si>
    <t>CAVANA-26022/C33</t>
  </si>
  <si>
    <t>OOLU9079282</t>
  </si>
  <si>
    <t>STRANGER-26009/C28</t>
  </si>
  <si>
    <t>MAEU9284081</t>
  </si>
  <si>
    <t>CAVANA-26028/FANG32</t>
  </si>
  <si>
    <t>SEGU5931094</t>
  </si>
  <si>
    <t>CAVANA-26029/FANG33</t>
  </si>
  <si>
    <t>TCLU8419157</t>
  </si>
  <si>
    <t>STRANGER-26011/C35</t>
  </si>
  <si>
    <t>MAEU9266555</t>
  </si>
  <si>
    <t>CAVANA-26026/C34</t>
  </si>
  <si>
    <t>MOEU1410686</t>
  </si>
  <si>
    <t>CAVANA-26030/FANG34</t>
  </si>
  <si>
    <t>ONEU7011404</t>
  </si>
  <si>
    <t>CAVANA-26031/FANG35</t>
  </si>
  <si>
    <t>SEGU5926945</t>
  </si>
  <si>
    <t>CAVANA-26034/FANG36</t>
  </si>
  <si>
    <t>ONEU7003380</t>
  </si>
  <si>
    <t>CAVANA-26035/FANG37</t>
  </si>
  <si>
    <t>CAIU5819847</t>
  </si>
  <si>
    <t>CAVANA-26032/C36</t>
  </si>
  <si>
    <t>MOEU1409941</t>
  </si>
  <si>
    <t>CAVANA-26033/C37</t>
  </si>
  <si>
    <t>CXDU2195258</t>
  </si>
  <si>
    <t>CAVANA-26038/C42</t>
  </si>
  <si>
    <t>ONEU1911970</t>
  </si>
  <si>
    <t>CAVANA-26036/FANG38</t>
  </si>
  <si>
    <t>CAAU9295473</t>
  </si>
  <si>
    <t>CAVANA-26037/FANG39</t>
  </si>
  <si>
    <t>GAOU7496070</t>
  </si>
  <si>
    <t>STRANGER-26012/C38</t>
  </si>
  <si>
    <t>MSKU4756162</t>
  </si>
  <si>
    <t>STRANGER-26013/C39</t>
  </si>
  <si>
    <t>MSKU4683641</t>
  </si>
  <si>
    <t>STRANGER-26014/C40</t>
  </si>
  <si>
    <t>MSKU4736103</t>
  </si>
  <si>
    <t>LOS ANGELES,US</t>
  </si>
  <si>
    <t>STRANGER-26015/C41</t>
  </si>
  <si>
    <t>WHSU6005650</t>
  </si>
  <si>
    <t>CAVANA-26039/C43</t>
  </si>
  <si>
    <t>MOEU1409896</t>
  </si>
  <si>
    <t>JULIO-25001</t>
    <phoneticPr fontId="9" type="noConversion"/>
  </si>
  <si>
    <t>JULIO-25002</t>
  </si>
  <si>
    <t>NINO-25001</t>
  </si>
  <si>
    <t>NINO-25002</t>
  </si>
  <si>
    <t>NINO-25003(M-RAN-250037)</t>
    <phoneticPr fontId="36" type="noConversion"/>
  </si>
  <si>
    <t>NINO-25004(M-RAN-250064)</t>
    <phoneticPr fontId="36" type="noConversion"/>
  </si>
  <si>
    <t>NINO-25005(M-RAN-250065)</t>
  </si>
  <si>
    <t>DETENTION FEE</t>
  </si>
  <si>
    <t>JISHOP-260006</t>
  </si>
  <si>
    <t>CSNU7098012</t>
  </si>
  <si>
    <t>JISHOP-260004</t>
  </si>
  <si>
    <t>ZCSU7716620</t>
  </si>
  <si>
    <t>JISHOP-260005</t>
  </si>
  <si>
    <t>TEMU7896297</t>
  </si>
  <si>
    <t>JISHOP-260003</t>
  </si>
  <si>
    <t>ECMU5692608</t>
  </si>
  <si>
    <t>JISHOP-260007</t>
  </si>
  <si>
    <t>TEMU8398160</t>
  </si>
  <si>
    <t>JISHOP-260002</t>
  </si>
  <si>
    <t>FFAU4504506</t>
  </si>
  <si>
    <t>JISHOP-260001</t>
  </si>
  <si>
    <t>ZCSU7956908</t>
  </si>
  <si>
    <t xml:space="preserve">CUSTOMER </t>
    <phoneticPr fontId="0" type="noConversion"/>
  </si>
  <si>
    <t>CUSTOMER FOR</t>
    <phoneticPr fontId="0" type="noConversion"/>
  </si>
  <si>
    <t>JHK-25033</t>
  </si>
  <si>
    <t>JACOBO HESKEL</t>
  </si>
  <si>
    <t>FCIU7382775</t>
  </si>
  <si>
    <t>JHK-25042</t>
    <phoneticPr fontId="10" type="noConversion"/>
  </si>
  <si>
    <t>JHK</t>
    <phoneticPr fontId="10" type="noConversion"/>
  </si>
  <si>
    <t>BEAU5329212</t>
  </si>
  <si>
    <t>have paid to ML-CHINA 11/08/26</t>
  </si>
  <si>
    <t>JHK-25043</t>
    <phoneticPr fontId="10" type="noConversion"/>
  </si>
  <si>
    <t>TRHU8306167</t>
  </si>
  <si>
    <t>JHK-25036</t>
    <phoneticPr fontId="10" type="noConversion"/>
  </si>
  <si>
    <t>EITU1288744</t>
  </si>
  <si>
    <t>JHK-25040</t>
    <phoneticPr fontId="10" type="noConversion"/>
  </si>
  <si>
    <t>HESU9989655</t>
  </si>
  <si>
    <t>JHK-25044</t>
    <phoneticPr fontId="10" type="noConversion"/>
  </si>
  <si>
    <t>CAAU6902260</t>
  </si>
  <si>
    <t>JHK-26001</t>
    <phoneticPr fontId="10" type="noConversion"/>
  </si>
  <si>
    <t>GCXU6362524</t>
  </si>
  <si>
    <t>have paid to ML-CHINA 16/04/26</t>
  </si>
  <si>
    <t>JHK-26003</t>
    <phoneticPr fontId="10" type="noConversion"/>
  </si>
  <si>
    <t>TLLU8647556</t>
  </si>
  <si>
    <t>EMC</t>
    <phoneticPr fontId="10" type="noConversion"/>
  </si>
  <si>
    <t>LAZARO,-ALL RAIL TO PANTACO</t>
  </si>
  <si>
    <t>JHK-26002</t>
    <phoneticPr fontId="10" type="noConversion"/>
  </si>
  <si>
    <t>TCNU3195215</t>
  </si>
  <si>
    <t>JHK-26007</t>
  </si>
  <si>
    <t>TLLU7876413</t>
  </si>
  <si>
    <t>JHK-26005</t>
    <phoneticPr fontId="10" type="noConversion"/>
  </si>
  <si>
    <t>NYKU0821453</t>
  </si>
  <si>
    <t>ONE</t>
    <phoneticPr fontId="10" type="noConversion"/>
  </si>
  <si>
    <t>LAZARO,-ALL RAIL TO PANTACO</t>
    <phoneticPr fontId="10" type="noConversion"/>
  </si>
  <si>
    <t>JHK-26006</t>
    <phoneticPr fontId="10" type="noConversion"/>
  </si>
  <si>
    <t>GCXU5205942</t>
  </si>
  <si>
    <t>JHK-26004</t>
  </si>
  <si>
    <t>TGBU4387803</t>
  </si>
  <si>
    <t>JHK-26008</t>
  </si>
  <si>
    <t>HMMU6033700</t>
  </si>
  <si>
    <t>JHK-26010</t>
  </si>
  <si>
    <t>MSMU4083123</t>
  </si>
  <si>
    <t>JHK-26009</t>
  </si>
  <si>
    <t>BEAU5505820</t>
  </si>
  <si>
    <t>JHK-26011</t>
  </si>
  <si>
    <t>DFSU7110425</t>
  </si>
  <si>
    <t>JHK-26012</t>
  </si>
  <si>
    <t>TCLU4864468</t>
  </si>
  <si>
    <t>JHK-26015</t>
  </si>
  <si>
    <t>TEMU6971380</t>
  </si>
  <si>
    <t>JHK-26016</t>
  </si>
  <si>
    <t>TRHU5006130</t>
  </si>
  <si>
    <t>JHK-26014</t>
  </si>
  <si>
    <t>ONEU0458480</t>
  </si>
  <si>
    <t>JHK-26017</t>
  </si>
  <si>
    <t>EISU8490711</t>
  </si>
  <si>
    <t>JHK-26018</t>
  </si>
  <si>
    <t>EGHU9467576</t>
  </si>
  <si>
    <t>JHK-26013</t>
  </si>
  <si>
    <t>TLLU5655389</t>
  </si>
  <si>
    <t>JHK-26019</t>
  </si>
  <si>
    <t>FFAU1971831</t>
  </si>
  <si>
    <t>JHK-26020</t>
  </si>
  <si>
    <t>MSNU6774072</t>
  </si>
  <si>
    <t>JHK-26021</t>
  </si>
  <si>
    <t>TGBU9629807</t>
  </si>
  <si>
    <t>JHK-26022</t>
  </si>
  <si>
    <t>MSMU7087821</t>
  </si>
  <si>
    <t>JHK-26023</t>
  </si>
  <si>
    <t>BMOU5259228</t>
  </si>
  <si>
    <t>JHK-26024</t>
  </si>
  <si>
    <t>EGHU9313380</t>
  </si>
  <si>
    <t>JHK-26025</t>
  </si>
  <si>
    <t>EGSU1681008</t>
  </si>
  <si>
    <t>JHK-26026</t>
  </si>
  <si>
    <t>CSGU6980829</t>
  </si>
  <si>
    <t>JHK-26027</t>
  </si>
  <si>
    <t>EITU9870134</t>
  </si>
  <si>
    <t>JHK-26028</t>
  </si>
  <si>
    <t>TXGU5615027</t>
  </si>
  <si>
    <t>JHK-26029</t>
  </si>
  <si>
    <t>EGSU1723546</t>
  </si>
  <si>
    <t>JHK-26030</t>
  </si>
  <si>
    <t>TGBU6309116</t>
  </si>
  <si>
    <t>JHK-26031</t>
  </si>
  <si>
    <t>EGHU9428991</t>
  </si>
  <si>
    <t>JHK-26032</t>
  </si>
  <si>
    <t>MSDU8870619</t>
  </si>
  <si>
    <t>JHK-26033</t>
  </si>
  <si>
    <t>JHK-26034</t>
  </si>
  <si>
    <t>TGBU9237853</t>
  </si>
  <si>
    <t>JHK-26035</t>
  </si>
  <si>
    <t>MSDU8473041</t>
  </si>
  <si>
    <t>JHK-26036</t>
  </si>
  <si>
    <t>TCNU8615178</t>
  </si>
  <si>
    <t>JHK-26037</t>
  </si>
  <si>
    <t>TRHU5632278</t>
  </si>
  <si>
    <t>JHK-26041</t>
  </si>
  <si>
    <t>TCNU2697163</t>
  </si>
  <si>
    <t>JHK-26042</t>
  </si>
  <si>
    <t>OOLU9137795</t>
  </si>
  <si>
    <t>JHK-26044</t>
  </si>
  <si>
    <t>MRSU6437761</t>
  </si>
  <si>
    <t>JHK-26039</t>
  </si>
  <si>
    <t>CAIU7214602</t>
  </si>
  <si>
    <t>JHK-26045</t>
  </si>
  <si>
    <t>MSBU7464285</t>
  </si>
  <si>
    <t>JHK-26046</t>
  </si>
  <si>
    <t xml:space="preserve">MRSU5807898
</t>
  </si>
  <si>
    <t>JHK-26043</t>
  </si>
  <si>
    <t>OOCU8032957</t>
  </si>
  <si>
    <t>JHK-26047</t>
  </si>
  <si>
    <t>OOCU9044567</t>
  </si>
  <si>
    <t>JHK-26048</t>
  </si>
  <si>
    <t>MRKU3661760</t>
  </si>
  <si>
    <t>JHK-26049</t>
  </si>
  <si>
    <t>MSKU1527795</t>
  </si>
  <si>
    <t>JHK-26050</t>
  </si>
  <si>
    <t>OOLU9108565</t>
  </si>
  <si>
    <t>JHK-26051</t>
  </si>
  <si>
    <t>CAJU5889149</t>
  </si>
  <si>
    <t>JHK-26052</t>
  </si>
  <si>
    <t>CAAU5765558</t>
  </si>
  <si>
    <t>JHK-26038</t>
  </si>
  <si>
    <t>SUDU6963394</t>
  </si>
  <si>
    <t>JHK-26040</t>
  </si>
  <si>
    <t>MRSU6498860</t>
  </si>
  <si>
    <t>JHK-26054</t>
  </si>
  <si>
    <t>FFAU5450106</t>
  </si>
  <si>
    <t>JHK-26053</t>
  </si>
  <si>
    <t>OOCU8353432</t>
  </si>
  <si>
    <t>JHK-26055</t>
  </si>
  <si>
    <t>KOCU4871362</t>
  </si>
  <si>
    <t>JHK-26056</t>
  </si>
  <si>
    <t>MSMU4870242</t>
  </si>
  <si>
    <t>JHK-26057</t>
  </si>
  <si>
    <t>TCKU6939337</t>
  </si>
  <si>
    <t>YTANTIAN</t>
  </si>
  <si>
    <t>JHK-26058</t>
  </si>
  <si>
    <t>MSMU5594637</t>
  </si>
  <si>
    <t>CONSIGNATARIO</t>
  </si>
  <si>
    <t>BEN-26001</t>
  </si>
  <si>
    <t>ALAN BENSUSAN</t>
  </si>
  <si>
    <t>IMPORTADORA COMERCIAL DIAROLI, S.A DE C.V.</t>
  </si>
  <si>
    <t>OOCU7929631</t>
  </si>
  <si>
    <t>BEN-26002</t>
  </si>
  <si>
    <t>GT CARRIERS INC.</t>
  </si>
  <si>
    <t>ZCSU7710724</t>
  </si>
  <si>
    <t>BEN-26003</t>
  </si>
  <si>
    <t>CBHU9470413</t>
  </si>
  <si>
    <t>BEN-26007</t>
  </si>
  <si>
    <t>FCIU7467764</t>
  </si>
  <si>
    <t>BEN-26009</t>
  </si>
  <si>
    <t>EGHU9432902</t>
  </si>
  <si>
    <t>BEN-26006</t>
  </si>
  <si>
    <t>CSNU5955522</t>
  </si>
  <si>
    <t>BEN-26004</t>
  </si>
  <si>
    <t>OOCU6015307</t>
  </si>
  <si>
    <t>BEN-26005</t>
  </si>
  <si>
    <t>TGBU9816686</t>
  </si>
  <si>
    <t>BEN-26008</t>
  </si>
  <si>
    <t>BEAU6201360</t>
  </si>
  <si>
    <t>BEN-26011</t>
  </si>
  <si>
    <t>CSNU6943491</t>
  </si>
  <si>
    <t>BEN-26010</t>
  </si>
  <si>
    <t>CCLU7764770</t>
  </si>
  <si>
    <t>BEN-26012</t>
  </si>
  <si>
    <t>CSNU6793149</t>
  </si>
  <si>
    <t>HANONO-26001</t>
  </si>
  <si>
    <t>BETO HANONO</t>
  </si>
  <si>
    <t>ZCSU7559500</t>
  </si>
  <si>
    <t>Have paid to ML-CHINA</t>
  </si>
  <si>
    <t>HANONO-26002</t>
  </si>
  <si>
    <t xml:space="preserve">CSNU7830951
</t>
  </si>
  <si>
    <t>BEHI-26001</t>
  </si>
  <si>
    <t>BETO HILU</t>
  </si>
  <si>
    <t>CICU6801662</t>
  </si>
  <si>
    <t>DACH-26002</t>
  </si>
  <si>
    <t>DANIEL CHEREM</t>
  </si>
  <si>
    <t>SOLOMON JASQUI</t>
  </si>
  <si>
    <t>BMOU5516537</t>
  </si>
  <si>
    <t>BENA-26002</t>
  </si>
  <si>
    <t>DAVID BENAVIDES</t>
  </si>
  <si>
    <t>COMERCIALIZADORA AMCT SA DE CV</t>
  </si>
  <si>
    <t>TXGU8332416</t>
  </si>
  <si>
    <t>BENA-26001</t>
  </si>
  <si>
    <t>TRHU6224603</t>
  </si>
  <si>
    <t>DABE-26001</t>
  </si>
  <si>
    <t>HMMU4620993</t>
  </si>
  <si>
    <t>DABE-26002</t>
  </si>
  <si>
    <t>TCNU4843246</t>
  </si>
  <si>
    <t>OPPO-26001</t>
  </si>
  <si>
    <t>JACK ANZARUT</t>
  </si>
  <si>
    <t>CCLU7764698</t>
  </si>
  <si>
    <t>NOTIJS-25005</t>
  </si>
  <si>
    <t>JACOBO SHREM</t>
  </si>
  <si>
    <t>TRHU6765980</t>
  </si>
  <si>
    <t>NOTIJS-25006</t>
  </si>
  <si>
    <t>TLLU5856660</t>
  </si>
  <si>
    <t>NOTIJS-26001</t>
  </si>
  <si>
    <t>MSBU7179293</t>
  </si>
  <si>
    <t>NOTIJS-26003</t>
  </si>
  <si>
    <t>TGBU7006618</t>
  </si>
  <si>
    <t>NOTIJS-26004</t>
  </si>
  <si>
    <t>SEGU6247698</t>
  </si>
  <si>
    <t>NOTIJS-26002</t>
  </si>
  <si>
    <t>Jacobo Shrem</t>
  </si>
  <si>
    <t>HMMU6980772</t>
  </si>
  <si>
    <t>NOTIJS-26005</t>
  </si>
  <si>
    <t>BEAU6313777</t>
  </si>
  <si>
    <t>NOTIJS-26006</t>
  </si>
  <si>
    <t>EITU8082858</t>
  </si>
  <si>
    <t>JISA-25021</t>
  </si>
  <si>
    <t>JIMMY SAMPSON</t>
  </si>
  <si>
    <t>IMP &amp; EXP LURADAK SA DE CV</t>
  </si>
  <si>
    <t>HMMU6957854</t>
  </si>
  <si>
    <t>JISA-25022</t>
  </si>
  <si>
    <t>HMMU7013782</t>
  </si>
  <si>
    <t>JISA-25025</t>
  </si>
  <si>
    <t>HMMU4261466</t>
  </si>
  <si>
    <t>JISA-25026</t>
  </si>
  <si>
    <t>HMMU6970537</t>
  </si>
  <si>
    <t>JISA-25027</t>
  </si>
  <si>
    <t>TCNU6390473</t>
  </si>
  <si>
    <t>JISA-26001</t>
  </si>
  <si>
    <t>TXGU8977842</t>
  </si>
  <si>
    <t>JISA-26002</t>
  </si>
  <si>
    <t>CSNU7737469</t>
  </si>
  <si>
    <t>JISA-26003</t>
  </si>
  <si>
    <t>TIIU6194485</t>
  </si>
  <si>
    <t>JISA-26004</t>
  </si>
  <si>
    <t>TGHU6856389</t>
  </si>
  <si>
    <t>JISA-26005</t>
  </si>
  <si>
    <t>OOLU6956120</t>
  </si>
  <si>
    <t>JISA-26006</t>
  </si>
  <si>
    <t>TIIU4734347</t>
  </si>
  <si>
    <t>JISA-26009</t>
  </si>
  <si>
    <t>ONEU6506121</t>
  </si>
  <si>
    <t>JISA-26010</t>
  </si>
  <si>
    <t>TCLU4618438</t>
  </si>
  <si>
    <t>DACH-26001</t>
  </si>
  <si>
    <t>CMAU3647335</t>
  </si>
  <si>
    <t>JISA-26020</t>
  </si>
  <si>
    <t>BHCU4994765</t>
  </si>
  <si>
    <t>JISA-26023</t>
  </si>
  <si>
    <t>ONEU6325910</t>
  </si>
  <si>
    <t>JISA-26024</t>
  </si>
  <si>
    <t>ONEU7644465</t>
  </si>
  <si>
    <t>JISA-26025</t>
  </si>
  <si>
    <t>ONEU7643469</t>
  </si>
  <si>
    <t>JISA-26026</t>
  </si>
  <si>
    <t>TGBU9967110</t>
  </si>
  <si>
    <t>HAZIRA</t>
  </si>
  <si>
    <t>JISA-26035</t>
  </si>
  <si>
    <t>ONEU6654392</t>
  </si>
  <si>
    <t>JISA-26037</t>
  </si>
  <si>
    <t>MSDU6148227</t>
  </si>
  <si>
    <t>JISA-26038</t>
  </si>
  <si>
    <t>DFSU7109640</t>
  </si>
  <si>
    <t>JISA-26039</t>
  </si>
  <si>
    <t>CSNU7338140</t>
  </si>
  <si>
    <t>JISA-26040</t>
  </si>
  <si>
    <t>CSNU7349870</t>
  </si>
  <si>
    <t>JISA-26041</t>
  </si>
  <si>
    <t>TIIU6362444</t>
  </si>
  <si>
    <t>JISA-26042</t>
  </si>
  <si>
    <t>OOCU6185685</t>
  </si>
  <si>
    <t>JISA-26043</t>
  </si>
  <si>
    <t>KKFU7867537</t>
  </si>
  <si>
    <t>JISA-26047</t>
  </si>
  <si>
    <t>EITU1599068</t>
  </si>
  <si>
    <t>JISA-26048</t>
  </si>
  <si>
    <t>MSDU5407703</t>
  </si>
  <si>
    <t>JISA-26049</t>
  </si>
  <si>
    <t>MSDU7160839</t>
  </si>
  <si>
    <t>JISA-26050</t>
  </si>
  <si>
    <t>EITU1656614</t>
  </si>
  <si>
    <t>JISA-26051</t>
  </si>
  <si>
    <t>TGBU6720533</t>
  </si>
  <si>
    <t>JISA-26052</t>
  </si>
  <si>
    <t>YMLU8792865</t>
  </si>
  <si>
    <t>YML</t>
  </si>
  <si>
    <t>JISA-26053</t>
  </si>
  <si>
    <t>OOCU6154391</t>
  </si>
  <si>
    <t>PORT KLANG</t>
  </si>
  <si>
    <t>JISA-26054</t>
  </si>
  <si>
    <t>JISA-26058</t>
  </si>
  <si>
    <t>HMMU4793788</t>
  </si>
  <si>
    <t>JISA-26059</t>
  </si>
  <si>
    <t>TIIU4018580</t>
  </si>
  <si>
    <t>JISA-26060</t>
  </si>
  <si>
    <t>CLKU5018915</t>
  </si>
  <si>
    <t>JISA-26062</t>
  </si>
  <si>
    <t xml:space="preserve">HMMU6038533
</t>
  </si>
  <si>
    <t>JISA-26063</t>
  </si>
  <si>
    <t>TCKU6047644</t>
  </si>
  <si>
    <t>JISA-26067</t>
  </si>
  <si>
    <t>EITU9844979</t>
  </si>
  <si>
    <t>JISA-26068</t>
  </si>
  <si>
    <t>EITU1737249</t>
  </si>
  <si>
    <t>JISA-26069</t>
  </si>
  <si>
    <t>MSCU5267953</t>
  </si>
  <si>
    <t>JISA-26071</t>
  </si>
  <si>
    <t>FFAU1766924</t>
  </si>
  <si>
    <t>JISA-26072</t>
  </si>
  <si>
    <t>MSBU8350749</t>
  </si>
  <si>
    <t>JISA-26073</t>
  </si>
  <si>
    <t>TGBU4049642</t>
  </si>
  <si>
    <t>JISA-26074</t>
  </si>
  <si>
    <t>UETU7921776</t>
  </si>
  <si>
    <t>JISA-26075</t>
  </si>
  <si>
    <t>KOCU4403124</t>
  </si>
  <si>
    <t>JISA-26078</t>
  </si>
  <si>
    <t>KOCU5171595</t>
  </si>
  <si>
    <t>JISA-26079</t>
  </si>
  <si>
    <t>TIIU5607497</t>
  </si>
  <si>
    <t>JISA-26080</t>
  </si>
  <si>
    <t>TRHU8093565</t>
  </si>
  <si>
    <t>JISA-26081</t>
  </si>
  <si>
    <t>TGBU7743810</t>
  </si>
  <si>
    <t>JISA-26082</t>
  </si>
  <si>
    <t>MSNU5337680</t>
  </si>
  <si>
    <t>M-SKF-260003</t>
  </si>
  <si>
    <t>KOBI-SKF</t>
  </si>
  <si>
    <t>FFAU2326200</t>
  </si>
  <si>
    <t>M-SKF-260005</t>
  </si>
  <si>
    <t>CSNU6550663</t>
  </si>
  <si>
    <t>M-SKF-260006</t>
  </si>
  <si>
    <t>OOCU7121113</t>
  </si>
  <si>
    <t>M-SKF-260007</t>
  </si>
  <si>
    <t>OOCU7432584</t>
  </si>
  <si>
    <t>M-SKF-260008</t>
  </si>
  <si>
    <t>FCIU9848395</t>
  </si>
  <si>
    <t>M-SKF-260009</t>
  </si>
  <si>
    <t>CSNU7990287</t>
  </si>
  <si>
    <t>M-SKF-260010</t>
  </si>
  <si>
    <t>OOLU9296971</t>
  </si>
  <si>
    <t>M-SKF-260011</t>
  </si>
  <si>
    <t>TCLU9785567</t>
  </si>
  <si>
    <t>M-SKF-260004</t>
  </si>
  <si>
    <t>OOLU9471694</t>
  </si>
  <si>
    <t>M-SKF-260015</t>
  </si>
  <si>
    <t>OOCU6982966</t>
  </si>
  <si>
    <t>M-SKF-260017</t>
  </si>
  <si>
    <t>CSNU7630300</t>
  </si>
  <si>
    <t>M-SKF-260018</t>
  </si>
  <si>
    <t>CSNU8446792</t>
  </si>
  <si>
    <t>M-SKF-260019</t>
  </si>
  <si>
    <t>CSNU6139375</t>
  </si>
  <si>
    <t>NOAH-26001</t>
  </si>
  <si>
    <t>NOAH</t>
  </si>
  <si>
    <t>KOCU9016576</t>
  </si>
  <si>
    <t>NOAH-26002</t>
  </si>
  <si>
    <t>TXGU8083150</t>
  </si>
  <si>
    <t>NOAH-26005</t>
  </si>
  <si>
    <t>CSNU9546076</t>
  </si>
  <si>
    <t>NOAH-26003</t>
  </si>
  <si>
    <t>CXDU2292746</t>
  </si>
  <si>
    <t>NOAH-26009</t>
  </si>
  <si>
    <t xml:space="preserve">ZCSU6793920  </t>
  </si>
  <si>
    <t>NOAH-26006</t>
  </si>
  <si>
    <t>OOLU9072930</t>
  </si>
  <si>
    <t>NOAH-26004</t>
  </si>
  <si>
    <t>EITU8089019</t>
  </si>
  <si>
    <t>NOAH-26010</t>
  </si>
  <si>
    <t>TGBU4964090</t>
  </si>
  <si>
    <t>NOAH-26011</t>
  </si>
  <si>
    <t>OOCU0221147</t>
  </si>
  <si>
    <t>NOAH-26012</t>
  </si>
  <si>
    <t>CSGU6851225</t>
  </si>
  <si>
    <t>NOAH-26007</t>
  </si>
  <si>
    <t>HMMU6286170</t>
  </si>
  <si>
    <t>NOAH-26008</t>
  </si>
  <si>
    <t>HMMU4178860</t>
  </si>
  <si>
    <t>LESA-26001</t>
  </si>
  <si>
    <t>SALO ZAGA</t>
  </si>
  <si>
    <t>TCNU1994167</t>
  </si>
  <si>
    <t>PE-1586</t>
  </si>
  <si>
    <t>UNIREF</t>
  </si>
  <si>
    <t>EGHU9824349</t>
  </si>
  <si>
    <t>PE-1585</t>
  </si>
  <si>
    <t>TXGU7909355</t>
  </si>
  <si>
    <t>PE-1587</t>
  </si>
  <si>
    <t>MEDU7444463</t>
  </si>
  <si>
    <t>PE-1582</t>
  </si>
  <si>
    <t>TCNU5098981</t>
  </si>
  <si>
    <t>PE-1584</t>
  </si>
  <si>
    <t>EITU1933365</t>
  </si>
  <si>
    <t>PE-1588</t>
  </si>
  <si>
    <t>KOCU4214861</t>
  </si>
  <si>
    <t>PE-1589</t>
  </si>
  <si>
    <t>EITU1701518</t>
  </si>
  <si>
    <t>PE-1598</t>
  </si>
  <si>
    <t>HMMU4812152</t>
  </si>
  <si>
    <t>PE-1600</t>
  </si>
  <si>
    <t>HMMU4821827</t>
  </si>
  <si>
    <t>ZUDU-26001</t>
  </si>
  <si>
    <t>ZURY DUECK</t>
  </si>
  <si>
    <t>CAMBRIC TEXTIL SA DE CV</t>
  </si>
  <si>
    <t>TCKU6658793</t>
  </si>
  <si>
    <t>ZUDU-26002</t>
  </si>
  <si>
    <t>DFSU7055816</t>
  </si>
  <si>
    <t>ZUDU-26003</t>
  </si>
  <si>
    <t>TGBU4103430</t>
  </si>
  <si>
    <t>BEN-26013</t>
  </si>
  <si>
    <t>RFCU4088823</t>
  </si>
  <si>
    <t>BEN-26014</t>
  </si>
  <si>
    <t>OOCU8878924</t>
  </si>
  <si>
    <t>JISA-26085</t>
  </si>
  <si>
    <t>FFAU3068202</t>
  </si>
  <si>
    <t>JISA-26086</t>
  </si>
  <si>
    <t>MSBU5514392</t>
  </si>
  <si>
    <t>M-ALAN-260029</t>
  </si>
  <si>
    <t>KOBI-ALAN</t>
  </si>
  <si>
    <t>BEAU5758388</t>
  </si>
  <si>
    <t>M-SKF-260012</t>
  </si>
  <si>
    <t>TIIU5370276</t>
  </si>
  <si>
    <t>M-SKF-260016</t>
  </si>
  <si>
    <t>FFAU2555320</t>
  </si>
  <si>
    <t>M-SKF-260020</t>
  </si>
  <si>
    <t>CSNU8215617</t>
  </si>
  <si>
    <t>NOAH-26015</t>
  </si>
  <si>
    <t>OOLU9966939</t>
  </si>
  <si>
    <t>EDO DE CUENTA</t>
  </si>
  <si>
    <t>TARIFAS</t>
  </si>
  <si>
    <t>NOTIJS-26007</t>
  </si>
  <si>
    <t>EMCU8961207</t>
  </si>
  <si>
    <t>PE-1597</t>
  </si>
  <si>
    <t>GCXU6064290</t>
  </si>
  <si>
    <t>M-SKF-260013</t>
  </si>
  <si>
    <t>JISA-26087</t>
  </si>
  <si>
    <t>DFSU7252163</t>
  </si>
  <si>
    <t>JISA-26088</t>
  </si>
  <si>
    <t>OOCU8133145</t>
  </si>
  <si>
    <t>JISA-26090</t>
  </si>
  <si>
    <t>EGHU9780404</t>
  </si>
  <si>
    <t>JISA-26091</t>
  </si>
  <si>
    <t>TGBU6617253</t>
  </si>
  <si>
    <t>JISA-26092</t>
  </si>
  <si>
    <t>HMMU7091168</t>
  </si>
  <si>
    <t>JISA-26093</t>
  </si>
  <si>
    <t>HMMU4041585</t>
  </si>
  <si>
    <t>JISA-26094</t>
  </si>
  <si>
    <t>CAIU9823995</t>
  </si>
  <si>
    <t>JISA-26096</t>
  </si>
  <si>
    <t>HMMU4819007</t>
  </si>
  <si>
    <t>JISA-26097</t>
  </si>
  <si>
    <t>UETU6031844</t>
  </si>
  <si>
    <t>JISA-26098</t>
  </si>
  <si>
    <t>MSGU5234527</t>
  </si>
  <si>
    <t>JISA-26099</t>
  </si>
  <si>
    <t>MSDU7372606</t>
  </si>
  <si>
    <t>JISA-26100</t>
  </si>
  <si>
    <t>HMMU6165076</t>
  </si>
  <si>
    <t>JISA-26104</t>
  </si>
  <si>
    <t>KOCU4229619</t>
  </si>
  <si>
    <t>M-SKF-260027</t>
  </si>
  <si>
    <t>FFAU5757392</t>
  </si>
  <si>
    <t>NOAH-26014</t>
  </si>
  <si>
    <t>EGHU9315439</t>
  </si>
  <si>
    <t>NOTIJS-26008</t>
  </si>
  <si>
    <t>EITU1000689</t>
  </si>
  <si>
    <t>PE-1596</t>
  </si>
  <si>
    <t>CAAU5592386</t>
  </si>
  <si>
    <t>PE-1599</t>
  </si>
  <si>
    <t>BMOU6755109</t>
  </si>
  <si>
    <t>PE-1601</t>
  </si>
  <si>
    <t>MRSU9469783</t>
  </si>
  <si>
    <t>PE-1602</t>
  </si>
  <si>
    <t>HMMU4905086</t>
  </si>
  <si>
    <t>BEN-26016</t>
  </si>
  <si>
    <t>UETU6968589</t>
  </si>
  <si>
    <t>HANONO-26004</t>
  </si>
  <si>
    <t>MRKU3979350</t>
  </si>
  <si>
    <t>NOAH-26013</t>
  </si>
  <si>
    <t>CSNU9524950</t>
  </si>
  <si>
    <t>BEN-26015</t>
  </si>
  <si>
    <t>CSNU7209440</t>
  </si>
  <si>
    <t>BEN-26017</t>
  </si>
  <si>
    <t>CBHU9479658</t>
  </si>
  <si>
    <t>BEN-26018</t>
  </si>
  <si>
    <t>OOCU8200881</t>
  </si>
  <si>
    <t>HANONO-26003</t>
  </si>
  <si>
    <t>MSNU7896162</t>
  </si>
  <si>
    <t>HANONO-26005</t>
  </si>
  <si>
    <t>TGBU8743137</t>
  </si>
  <si>
    <t>JISA-26106</t>
  </si>
  <si>
    <t>FFAU2605837</t>
  </si>
  <si>
    <t>JISA-26108</t>
  </si>
  <si>
    <t>TCKU7669684</t>
  </si>
  <si>
    <t>JISA-26111</t>
  </si>
  <si>
    <t>CSGU6058633</t>
  </si>
  <si>
    <t>FCIU7213604</t>
  </si>
  <si>
    <t>M-SKF-260032</t>
  </si>
  <si>
    <t>FFAU6373637</t>
  </si>
  <si>
    <t>NOAH-26017</t>
  </si>
  <si>
    <t>FCIU9708264</t>
  </si>
  <si>
    <t>NOTIJS-26009</t>
  </si>
  <si>
    <t>TXGU7772405</t>
  </si>
  <si>
    <t>JISA-26113</t>
  </si>
  <si>
    <t>CSNU7350551</t>
  </si>
  <si>
    <t>JISA-26116</t>
  </si>
  <si>
    <t>MSMU7224647</t>
  </si>
  <si>
    <t>JISA-26117</t>
  </si>
  <si>
    <t>CAAU5927263</t>
  </si>
  <si>
    <t>BEN-26019</t>
  </si>
  <si>
    <t>MSNU7406619</t>
  </si>
  <si>
    <t>BEN-26021</t>
  </si>
  <si>
    <t>MEDU7117120</t>
  </si>
  <si>
    <t>BEN-26022</t>
  </si>
  <si>
    <t>MSDU6102078</t>
  </si>
  <si>
    <t>HANONO-26007</t>
  </si>
  <si>
    <t>HMMU6803777</t>
  </si>
  <si>
    <t>M-ALAN-260014</t>
  </si>
  <si>
    <t>BSLU4823082</t>
  </si>
  <si>
    <t>M-ALAN-260033</t>
  </si>
  <si>
    <t>TGBU9687660</t>
  </si>
  <si>
    <t>NOAH-26016</t>
  </si>
  <si>
    <t>BEAU6014117</t>
  </si>
  <si>
    <t>BEN-26020</t>
  </si>
  <si>
    <t>OOCU8391900</t>
  </si>
  <si>
    <t>M-SKF-260034</t>
  </si>
  <si>
    <t>WHSU5076730</t>
  </si>
  <si>
    <t>M-SKF-260035</t>
  </si>
  <si>
    <t>WHSU8262981</t>
  </si>
  <si>
    <t>NOAH-26019</t>
  </si>
  <si>
    <t>KOCU4622903</t>
  </si>
  <si>
    <t>BEN-26023</t>
  </si>
  <si>
    <t>MSMU8554010</t>
  </si>
  <si>
    <t>BEN-26024</t>
  </si>
  <si>
    <t>MEDU7449969</t>
  </si>
  <si>
    <t>BEN-26025</t>
  </si>
  <si>
    <t>TCNU5768907</t>
  </si>
  <si>
    <t>BEN-26032</t>
  </si>
  <si>
    <t>MSNU9242345</t>
  </si>
  <si>
    <t>HANONO-26006</t>
  </si>
  <si>
    <t>CSNU8788476</t>
  </si>
  <si>
    <t>JISA-26124</t>
  </si>
  <si>
    <t>FSCU7208280</t>
  </si>
  <si>
    <t>JISA-26125</t>
  </si>
  <si>
    <t>EMCU9911155</t>
  </si>
  <si>
    <t>HAZIRA,INDIA</t>
  </si>
  <si>
    <t>JISA-26128</t>
  </si>
  <si>
    <t>TRHU8835685</t>
  </si>
  <si>
    <t>JISA-26129</t>
  </si>
  <si>
    <t>FSCU8722210</t>
  </si>
  <si>
    <t>NOTIJS-26010</t>
  </si>
  <si>
    <t>CAJU5934530</t>
  </si>
  <si>
    <t>NOTIJS-26011</t>
  </si>
  <si>
    <t>SELU4678548</t>
  </si>
  <si>
    <t>BALM-26001</t>
  </si>
  <si>
    <t>Roger Chattah</t>
  </si>
  <si>
    <t>FFAU6352742</t>
  </si>
  <si>
    <t>M-ALAN-260040</t>
  </si>
  <si>
    <t>TRHU8528170</t>
  </si>
  <si>
    <t>BEN-26026</t>
  </si>
  <si>
    <t>GAOU7420285</t>
  </si>
  <si>
    <t>BEN-26027</t>
  </si>
  <si>
    <t>MSNU8851590</t>
  </si>
  <si>
    <t>M-SKF-260041</t>
  </si>
  <si>
    <t>OOCU9570577</t>
  </si>
  <si>
    <t>M-SKF-260047</t>
  </si>
  <si>
    <t>OOCU9851384</t>
  </si>
  <si>
    <t>ZZH-26024</t>
  </si>
  <si>
    <t>TIIU4405510</t>
  </si>
  <si>
    <t>ZZH-26022</t>
  </si>
  <si>
    <t>TIIU5984551</t>
  </si>
  <si>
    <t>BEN-26028</t>
  </si>
  <si>
    <t>MSKU1800410</t>
  </si>
  <si>
    <t>BEN-26033</t>
  </si>
  <si>
    <t>CSNU8904848</t>
  </si>
  <si>
    <t>LAZARO</t>
  </si>
  <si>
    <t>BEN-26034</t>
  </si>
  <si>
    <t>OOCU7185648</t>
  </si>
  <si>
    <t>BEN-26035</t>
  </si>
  <si>
    <t>MRSU9267993</t>
  </si>
  <si>
    <t>M-ALAN-260044</t>
  </si>
  <si>
    <t>MRKU4938838</t>
  </si>
  <si>
    <t>M-ALAN-260045</t>
  </si>
  <si>
    <t>TXTU4040227</t>
  </si>
  <si>
    <t>M-ALAN-260050</t>
  </si>
  <si>
    <t>CAJU5010286</t>
  </si>
  <si>
    <t>M-SKF-260049</t>
  </si>
  <si>
    <t>SEKU4024344</t>
  </si>
  <si>
    <t>BEN-26036</t>
  </si>
  <si>
    <t>BMOU6571312</t>
  </si>
  <si>
    <t>BEN-26037</t>
  </si>
  <si>
    <t>TRHU4427983</t>
  </si>
  <si>
    <t>BEN-26040</t>
  </si>
  <si>
    <t>OOCU0227382</t>
  </si>
  <si>
    <t>BEN-26041</t>
  </si>
  <si>
    <t>DFSU7806706</t>
  </si>
  <si>
    <t>BEN-26042</t>
  </si>
  <si>
    <t>OOCU0221002</t>
  </si>
  <si>
    <t>BEN-26043</t>
  </si>
  <si>
    <t>OOLU9072689</t>
  </si>
  <si>
    <t>JISA-26130</t>
  </si>
  <si>
    <t>FFAU5998928</t>
  </si>
  <si>
    <t>JISA-26132</t>
  </si>
  <si>
    <t>MSMU5781540</t>
  </si>
  <si>
    <t>JISA-26138</t>
  </si>
  <si>
    <t>SALOMON JASQUI</t>
  </si>
  <si>
    <t>FFAU2709750</t>
  </si>
  <si>
    <t>JISA-26139</t>
  </si>
  <si>
    <t>TIIU4937684</t>
  </si>
  <si>
    <t>JISA-26140</t>
  </si>
  <si>
    <t>CSGU6909986</t>
  </si>
  <si>
    <t>M-ALAN-260046</t>
  </si>
  <si>
    <t>MSDU8818610</t>
  </si>
  <si>
    <t>ZZH-26025</t>
  </si>
  <si>
    <t>MSCU5125671</t>
  </si>
  <si>
    <t>BEN-26031</t>
  </si>
  <si>
    <t>MEDU7817166</t>
  </si>
  <si>
    <t>BEN-26038</t>
  </si>
  <si>
    <t>BMOU5632650</t>
  </si>
  <si>
    <t>BEN-26039</t>
  </si>
  <si>
    <t>MSBU7670666</t>
  </si>
  <si>
    <t xml:space="preserve">COH-26002 </t>
  </si>
  <si>
    <t>ALBERT COHEN</t>
  </si>
  <si>
    <t>MSBU2408355</t>
  </si>
  <si>
    <t>M-ALAN-260051</t>
  </si>
  <si>
    <t>TEMU7646385</t>
  </si>
  <si>
    <t>M-ALAN-260052</t>
  </si>
  <si>
    <t>TLLU8737840</t>
  </si>
  <si>
    <t>BEN-26044</t>
  </si>
  <si>
    <t>DFSU7357821</t>
  </si>
  <si>
    <t>HANONO-26008</t>
  </si>
  <si>
    <t>BEAU5185970</t>
  </si>
  <si>
    <t>JISA-26145</t>
  </si>
  <si>
    <t>KOCU5008335</t>
  </si>
  <si>
    <t>JISA-26146</t>
  </si>
  <si>
    <t>HMMU7157476</t>
  </si>
  <si>
    <t>JISA-26147</t>
  </si>
  <si>
    <t>KOCU4430080</t>
  </si>
  <si>
    <t>NOAH-26020</t>
  </si>
  <si>
    <t>OOCU0221091</t>
  </si>
  <si>
    <t>INA-26002</t>
  </si>
  <si>
    <t>ISAAC NEHMAD</t>
  </si>
  <si>
    <t>VISIONEVOLUCION SA DE CV</t>
  </si>
  <si>
    <t>SUDU8782121</t>
  </si>
  <si>
    <t>BEN-26045</t>
  </si>
  <si>
    <t>TCLU7783713</t>
  </si>
  <si>
    <t>BEN-26046</t>
  </si>
  <si>
    <t>MSGU5167624</t>
  </si>
  <si>
    <t>BEN-26047</t>
  </si>
  <si>
    <t>KOCU4064308</t>
  </si>
  <si>
    <t>COH-26001</t>
  </si>
  <si>
    <t>FTAU1513918</t>
  </si>
  <si>
    <t>JISA-26153</t>
  </si>
  <si>
    <t>KOCU4862550</t>
  </si>
  <si>
    <t>RABE-26001</t>
  </si>
  <si>
    <t>TIIU5921960</t>
  </si>
  <si>
    <t>REBE-26001</t>
  </si>
  <si>
    <t>DRYU9793844</t>
  </si>
  <si>
    <t>REBE-26003</t>
  </si>
  <si>
    <t>RAMON BETECH-YOSEF</t>
  </si>
  <si>
    <t>BMOU6124757</t>
  </si>
  <si>
    <t>REBE-26002</t>
  </si>
  <si>
    <t>GCXU5646491</t>
  </si>
  <si>
    <t>REBE-26004</t>
  </si>
  <si>
    <t>CSNU6588632</t>
  </si>
  <si>
    <t>REBE-26005</t>
  </si>
  <si>
    <t>OOCU6739200</t>
  </si>
  <si>
    <t>Update ETA</t>
    <phoneticPr fontId="13" type="noConversion"/>
  </si>
  <si>
    <t xml:space="preserve">                                                                   '          '</t>
  </si>
  <si>
    <t>EMPRESA</t>
  </si>
  <si>
    <t>AASZ-26007</t>
  </si>
  <si>
    <t>GLAMUR</t>
  </si>
  <si>
    <t>Beto Sidauy</t>
  </si>
  <si>
    <t>ISAMAR</t>
  </si>
  <si>
    <t>TIIU6046087</t>
  </si>
  <si>
    <t>AASZ-26008</t>
  </si>
  <si>
    <t>EITU9193239</t>
  </si>
  <si>
    <t>AASZ-26009</t>
  </si>
  <si>
    <t>CSNU7862049</t>
  </si>
  <si>
    <t>AASZ-26012</t>
  </si>
  <si>
    <t>CAAU6154492</t>
  </si>
  <si>
    <t>AASZ-26016</t>
  </si>
  <si>
    <t>OOCU6276039</t>
  </si>
  <si>
    <t>AASZ-26001</t>
  </si>
  <si>
    <t>SIRO</t>
  </si>
  <si>
    <t>DFSU7503090</t>
  </si>
  <si>
    <t>AASZ-26002</t>
  </si>
  <si>
    <t>TLLU5691811</t>
  </si>
  <si>
    <t>AASZ-26003</t>
  </si>
  <si>
    <t>MSDU5448153</t>
  </si>
  <si>
    <t>AASZ-26004</t>
  </si>
  <si>
    <t>MSMU6965096</t>
  </si>
  <si>
    <t>AASZ-26005</t>
  </si>
  <si>
    <t>EGSU9354110</t>
  </si>
  <si>
    <t>AASZ-26006</t>
  </si>
  <si>
    <t>TGCU5109694</t>
  </si>
  <si>
    <t>AASZ-26010</t>
  </si>
  <si>
    <t>EITU9553269</t>
  </si>
  <si>
    <t>AASZ-26011</t>
  </si>
  <si>
    <t>EGHU9832046</t>
  </si>
  <si>
    <t>AASZ-26013</t>
  </si>
  <si>
    <t>MSMU3695058</t>
  </si>
  <si>
    <t>AASZ-26014</t>
  </si>
  <si>
    <t>TGBU9603757</t>
  </si>
  <si>
    <t>AASZ-26015</t>
  </si>
  <si>
    <t>MSNU2610548</t>
  </si>
  <si>
    <t>AASZ-26017</t>
  </si>
  <si>
    <t>MRSU7398891</t>
  </si>
  <si>
    <t>AASZ-26018</t>
  </si>
  <si>
    <t>CSGU6547803</t>
  </si>
  <si>
    <t>AASZ-26019</t>
  </si>
  <si>
    <t>RFCU4032296</t>
  </si>
  <si>
    <t>LU-26001</t>
  </si>
  <si>
    <t>LUIS//LILY VARGAS</t>
  </si>
  <si>
    <t>DAGVALA LOGISTICA ADUANAL, S.A. DE C.V.</t>
  </si>
  <si>
    <t>MEDU9378530</t>
  </si>
  <si>
    <t>LU-26002</t>
  </si>
  <si>
    <t>MAQUILADORA ADALI SA DE CV</t>
  </si>
  <si>
    <t>EMCU8666182</t>
  </si>
  <si>
    <t>LU-26003</t>
  </si>
  <si>
    <t>TGCU5481037</t>
  </si>
  <si>
    <t>BENA-26003</t>
  </si>
  <si>
    <t>MARKETER</t>
  </si>
  <si>
    <t>TGBU5595648</t>
  </si>
  <si>
    <t>BENA-26004</t>
  </si>
  <si>
    <t>MARKETER BREXXIAN GROUP, S.A. DE C.V</t>
  </si>
  <si>
    <t>OOCU6104209</t>
  </si>
  <si>
    <t>BENA-26005</t>
  </si>
  <si>
    <t>CBHU9516406</t>
  </si>
  <si>
    <t>KAOHSIUNG</t>
  </si>
  <si>
    <t>BENA-26006</t>
  </si>
  <si>
    <t>TIIU4943835</t>
  </si>
  <si>
    <t>BENA-26007</t>
  </si>
  <si>
    <t>EMCU8859284</t>
  </si>
  <si>
    <t>BENA2-26001</t>
  </si>
  <si>
    <t>COMERCIO PANTEGAL S.A. DE C.V</t>
  </si>
  <si>
    <t>MSMU8552050</t>
  </si>
  <si>
    <t>BENA-26008</t>
  </si>
  <si>
    <t>CCLU7616957</t>
  </si>
  <si>
    <t>JISA-26007</t>
  </si>
  <si>
    <t>JIV PIECE MARKETER SA DE CV</t>
  </si>
  <si>
    <t>HMMU6802955</t>
  </si>
  <si>
    <t>JISA-26008</t>
  </si>
  <si>
    <t>KOCU5084778</t>
  </si>
  <si>
    <t>JISA-26011</t>
  </si>
  <si>
    <t>MAGU5385717</t>
  </si>
  <si>
    <t>JISA-26012</t>
  </si>
  <si>
    <t>TRHU4788733</t>
  </si>
  <si>
    <t>JISA-26013</t>
  </si>
  <si>
    <t>ONEU6191180</t>
  </si>
  <si>
    <t>JISA-26015</t>
  </si>
  <si>
    <t>TGBU9760653</t>
  </si>
  <si>
    <t>JISA-26014</t>
  </si>
  <si>
    <t>ONEU6827749</t>
  </si>
  <si>
    <t>JISA-26017</t>
  </si>
  <si>
    <t>BEAU5348038</t>
  </si>
  <si>
    <t>JISA-26018</t>
  </si>
  <si>
    <t>TRHU4970408</t>
  </si>
  <si>
    <t>JISA-26019</t>
  </si>
  <si>
    <t>KOCU4693110</t>
  </si>
  <si>
    <t>JISA-26030</t>
  </si>
  <si>
    <t>FFAU6714559</t>
  </si>
  <si>
    <t>MANZANILLO, ALL RAIL TO MEXICO CITY</t>
  </si>
  <si>
    <t>JISA-26021</t>
  </si>
  <si>
    <t>ONEU6325925</t>
  </si>
  <si>
    <t>JISA-26022</t>
  </si>
  <si>
    <t>ONEU7652440</t>
  </si>
  <si>
    <t>JISA-26016</t>
  </si>
  <si>
    <t>MRSU9479626</t>
  </si>
  <si>
    <t>JISA-26029</t>
  </si>
  <si>
    <t>HMMU6364653</t>
  </si>
  <si>
    <t>JISA-26031</t>
  </si>
  <si>
    <t>MTSU9602760</t>
  </si>
  <si>
    <t>JISA-26032</t>
  </si>
  <si>
    <t>BEAU5355802</t>
  </si>
  <si>
    <t>JISA-26033</t>
  </si>
  <si>
    <t>ONEU0012100</t>
  </si>
  <si>
    <t>JISA-26034</t>
  </si>
  <si>
    <t>ONEU5656359</t>
  </si>
  <si>
    <t>JISA-26036</t>
  </si>
  <si>
    <t>FFAU6757442</t>
  </si>
  <si>
    <t>JISA-26027</t>
  </si>
  <si>
    <t>TIIU4001904</t>
  </si>
  <si>
    <t>JISA-26028</t>
  </si>
  <si>
    <t>MSNU5446865</t>
  </si>
  <si>
    <t>JISA-26045</t>
  </si>
  <si>
    <t>FFAU1529650</t>
  </si>
  <si>
    <t>PREVIO/ INSURANCE</t>
  </si>
  <si>
    <t>BH-26001</t>
  </si>
  <si>
    <t>GAB MICH</t>
  </si>
  <si>
    <t>MSMU6218249</t>
  </si>
  <si>
    <t>BH-26002</t>
  </si>
  <si>
    <t>MEDU4952970</t>
  </si>
  <si>
    <t>BH-26003</t>
  </si>
  <si>
    <t>TRHU7807483</t>
  </si>
  <si>
    <t>BH-26005</t>
  </si>
  <si>
    <t>FFAU4283750</t>
  </si>
  <si>
    <t>BH-26006</t>
  </si>
  <si>
    <t>MSMU5996765</t>
  </si>
  <si>
    <t>BH-26004</t>
  </si>
  <si>
    <t>MSNU7441369</t>
  </si>
  <si>
    <t>BH-26007</t>
  </si>
  <si>
    <t>MSMU7995942</t>
  </si>
  <si>
    <t>BH-26008</t>
  </si>
  <si>
    <t>MSNU7420108</t>
  </si>
  <si>
    <t>BH-26009</t>
  </si>
  <si>
    <t>MSMU5413596</t>
  </si>
  <si>
    <t>BH-26010</t>
  </si>
  <si>
    <t>TGBU5452420</t>
  </si>
  <si>
    <t>BH-26011</t>
  </si>
  <si>
    <t>BMOU4654275</t>
  </si>
  <si>
    <t>BH-26012</t>
  </si>
  <si>
    <t>FSCU8571047</t>
  </si>
  <si>
    <t>BH-26013</t>
  </si>
  <si>
    <t>MRSU8093834</t>
  </si>
  <si>
    <t>BH-26014</t>
  </si>
  <si>
    <t>MRSU5907367</t>
  </si>
  <si>
    <t>BH-26015</t>
  </si>
  <si>
    <t>TCNU1575303</t>
  </si>
  <si>
    <t>BH-26016</t>
  </si>
  <si>
    <t>MEDU9486719</t>
  </si>
  <si>
    <t>INA-26001</t>
  </si>
  <si>
    <t>Soluciones ecológicas 
renovables s de rl de cv</t>
  </si>
  <si>
    <t>MSDU8355795</t>
  </si>
  <si>
    <t>OTHER COST</t>
  </si>
  <si>
    <t>MNS-26001</t>
  </si>
  <si>
    <t>GABI KON</t>
  </si>
  <si>
    <t>FANU3808679</t>
  </si>
  <si>
    <t>LB- LAREDO</t>
  </si>
  <si>
    <t>MNS-26002</t>
  </si>
  <si>
    <t>HAMU2197927</t>
  </si>
  <si>
    <t>MNS-26003</t>
  </si>
  <si>
    <t>ONEU4802398</t>
  </si>
  <si>
    <t>MNS-26004</t>
  </si>
  <si>
    <t>FFAU8434475</t>
  </si>
  <si>
    <t>MNS-26005</t>
  </si>
  <si>
    <t>FFAU1717046</t>
  </si>
  <si>
    <t>EL PASO</t>
  </si>
  <si>
    <t>MNS-26009</t>
  </si>
  <si>
    <t>TCLU8220519</t>
  </si>
  <si>
    <t>MNS-26010</t>
  </si>
  <si>
    <t>ONEU1646687</t>
  </si>
  <si>
    <t>MNS-26011</t>
  </si>
  <si>
    <t>SDOU4726434</t>
  </si>
  <si>
    <t>TIANJI XINGANG</t>
  </si>
  <si>
    <t>MNS-26012</t>
  </si>
  <si>
    <t>ONEU1157011</t>
  </si>
  <si>
    <t>MNS-26015</t>
  </si>
  <si>
    <t>CAAU5080749</t>
  </si>
  <si>
    <t>MNS-26006</t>
  </si>
  <si>
    <t>TXGU8395672</t>
  </si>
  <si>
    <t>MNS-26008</t>
  </si>
  <si>
    <t>CAJU5884846</t>
  </si>
  <si>
    <t>MNS-26007</t>
  </si>
  <si>
    <t>MSDU6713077</t>
  </si>
  <si>
    <t>TIANJI</t>
  </si>
  <si>
    <t>LAREDO</t>
  </si>
  <si>
    <t>MNS-26013</t>
  </si>
  <si>
    <t>UACU5729775</t>
  </si>
  <si>
    <t>MNS-26016</t>
  </si>
  <si>
    <t>FFAU2015419</t>
  </si>
  <si>
    <t>MNS-26017</t>
  </si>
  <si>
    <t>HAMU1934758</t>
  </si>
  <si>
    <t>MNS-26022</t>
  </si>
  <si>
    <t>HAMU3163027</t>
  </si>
  <si>
    <t>MNS-26019</t>
  </si>
  <si>
    <t>HLBU3361110</t>
  </si>
  <si>
    <t>MNS-26023</t>
  </si>
  <si>
    <t>CAAU5790397</t>
  </si>
  <si>
    <t>MNS-26025</t>
  </si>
  <si>
    <t>MAGU5543833</t>
  </si>
  <si>
    <t>MNS-26020</t>
  </si>
  <si>
    <t>FANU1837596</t>
  </si>
  <si>
    <t>MNS-26024</t>
  </si>
  <si>
    <t>TXGU7139953</t>
  </si>
  <si>
    <t>MNS-26021</t>
  </si>
  <si>
    <t>CAAU5558669</t>
  </si>
  <si>
    <t>AMEND FEE</t>
  </si>
  <si>
    <t>JISA-26044</t>
  </si>
  <si>
    <t>Grupo Importador Luck SA de CV</t>
  </si>
  <si>
    <t>TRHU7650115</t>
  </si>
  <si>
    <t>JISA-26046</t>
  </si>
  <si>
    <t>ONEU1214282</t>
  </si>
  <si>
    <t>JISA-26055</t>
  </si>
  <si>
    <t>CAIU4724135</t>
  </si>
  <si>
    <t>JISA-26056</t>
  </si>
  <si>
    <t>TIIU6333657</t>
  </si>
  <si>
    <t>JISA-26057</t>
  </si>
  <si>
    <t>FSCU8840552</t>
  </si>
  <si>
    <t>JISA-26064</t>
  </si>
  <si>
    <t>MSDU5023523</t>
  </si>
  <si>
    <t>JISA-26065</t>
  </si>
  <si>
    <t>BMOU5814167</t>
  </si>
  <si>
    <t>JISA-26061</t>
  </si>
  <si>
    <t>TGBU5887465</t>
  </si>
  <si>
    <t>JISA-26076</t>
  </si>
  <si>
    <t>GRUPO IMPORTADOR LUCK SA DE CV</t>
  </si>
  <si>
    <t>CSGU7013741</t>
  </si>
  <si>
    <t>JISA-26066</t>
  </si>
  <si>
    <t>CAAU5071433</t>
  </si>
  <si>
    <t>JISA-26070</t>
  </si>
  <si>
    <t>HMMU6345355</t>
  </si>
  <si>
    <t>JISA-26077</t>
  </si>
  <si>
    <t>CBHU7072257</t>
  </si>
  <si>
    <t>JISA-26089</t>
  </si>
  <si>
    <t>BEAU4248517</t>
  </si>
  <si>
    <t>JISA-26084</t>
  </si>
  <si>
    <t>TCKU6066710</t>
  </si>
  <si>
    <t>JISA-26083</t>
  </si>
  <si>
    <t>BEAU5732357</t>
  </si>
  <si>
    <t>JISA-26095</t>
  </si>
  <si>
    <t>HMMU4823326</t>
  </si>
  <si>
    <t>JISA-26101</t>
  </si>
  <si>
    <t>CAIU7385837</t>
  </si>
  <si>
    <t>JISA-26105</t>
  </si>
  <si>
    <t>KOCU4795982</t>
  </si>
  <si>
    <t>JISA-26102</t>
  </si>
  <si>
    <t>CAAU7145181</t>
  </si>
  <si>
    <t>JISA-26107</t>
  </si>
  <si>
    <t>HMMU6176358</t>
  </si>
  <si>
    <t>JISA-26112</t>
  </si>
  <si>
    <t>FFAU6087417</t>
  </si>
  <si>
    <t>JISA-26114</t>
  </si>
  <si>
    <t>BMOU6583817</t>
  </si>
  <si>
    <t>JISA-26103</t>
  </si>
  <si>
    <t>MEDU7790548</t>
  </si>
  <si>
    <t>JISA-26115</t>
  </si>
  <si>
    <t>TGHU9706607</t>
  </si>
  <si>
    <t>JISA-26109</t>
  </si>
  <si>
    <t>FFAU3587337</t>
  </si>
  <si>
    <t>JISA-26122</t>
  </si>
  <si>
    <t>DRYU6010863</t>
  </si>
  <si>
    <t>JISA-26110</t>
  </si>
  <si>
    <t>CSNU7460292</t>
  </si>
  <si>
    <t>JISA-26119</t>
  </si>
  <si>
    <t>FCIU9525284</t>
  </si>
  <si>
    <t>JISA-26120</t>
  </si>
  <si>
    <t>CSNU6498729</t>
  </si>
  <si>
    <t>JISA-26121</t>
  </si>
  <si>
    <t>OOLU9796745</t>
  </si>
  <si>
    <t>JISA-26118</t>
  </si>
  <si>
    <t>GAOU6747421</t>
  </si>
  <si>
    <t>JISA-26123</t>
  </si>
  <si>
    <t>TXGU8390135</t>
  </si>
  <si>
    <t>JISA-26127</t>
  </si>
  <si>
    <t>OOCU9485979</t>
  </si>
  <si>
    <t>JISA-26126</t>
  </si>
  <si>
    <t>JXLU6428700</t>
  </si>
  <si>
    <t>JISA-26131</t>
  </si>
  <si>
    <t>FCIU9592493</t>
  </si>
  <si>
    <t>JISA-26135</t>
  </si>
  <si>
    <t>FCIU9741410</t>
  </si>
  <si>
    <t>JISA-26133</t>
  </si>
  <si>
    <t>GRUPO LUCK</t>
  </si>
  <si>
    <t>MSMU8945226</t>
  </si>
  <si>
    <t>JISA-26136</t>
  </si>
  <si>
    <t>MSNU7830416</t>
  </si>
  <si>
    <t>JISA-26134</t>
  </si>
  <si>
    <t>SELU4265729</t>
  </si>
  <si>
    <t>PORT KLANG, MALAYSIA</t>
  </si>
  <si>
    <t>JISA-26137</t>
  </si>
  <si>
    <t>GRUPO LUCK</t>
  </si>
  <si>
    <t>UETU9365790</t>
  </si>
  <si>
    <t>JISA-26142</t>
  </si>
  <si>
    <t>HMMU6707161</t>
  </si>
  <si>
    <t>JISA-26141</t>
  </si>
  <si>
    <t>OOCU8163983</t>
  </si>
  <si>
    <t>JISA-26143</t>
  </si>
  <si>
    <t>CSGU8020956</t>
  </si>
  <si>
    <t>JISA-26144</t>
  </si>
  <si>
    <t>UETU7512870</t>
  </si>
  <si>
    <t>ELJA-26001</t>
  </si>
  <si>
    <t>ELÍAS JASQUI</t>
  </si>
  <si>
    <t>DIVENTO, SA DE CV</t>
  </si>
  <si>
    <t>HMMU4997760</t>
  </si>
  <si>
    <t>ELJA-26002</t>
  </si>
  <si>
    <t>MSMU5279907</t>
  </si>
  <si>
    <t>ELJA-26003</t>
  </si>
  <si>
    <t>MSDU7625601</t>
  </si>
  <si>
    <t>ELJA-26004</t>
  </si>
  <si>
    <t>BMOU4439734</t>
  </si>
  <si>
    <t>ELJA-26005</t>
  </si>
  <si>
    <t>MSNU7409346</t>
  </si>
  <si>
    <t>ELJA-26006</t>
  </si>
  <si>
    <t>MSNU5569089</t>
  </si>
  <si>
    <t>ELJA-26007</t>
  </si>
  <si>
    <t>MEDU4909844</t>
  </si>
  <si>
    <t>ELJA-26008</t>
  </si>
  <si>
    <t>MSMU6577104</t>
  </si>
  <si>
    <t>ELJA-26009</t>
  </si>
  <si>
    <t>MSNU5531247</t>
  </si>
  <si>
    <t>GAC-26007</t>
  </si>
  <si>
    <t>ANHERST S.A DE C.V</t>
  </si>
  <si>
    <t>CAIU7107287</t>
  </si>
  <si>
    <t>GAC-26008</t>
  </si>
  <si>
    <t>EMCU8222280</t>
  </si>
  <si>
    <t>GAC-26009</t>
  </si>
  <si>
    <t>HMMU4828272</t>
  </si>
  <si>
    <t>GABRI-26008</t>
  </si>
  <si>
    <t>MSDU7551854</t>
  </si>
  <si>
    <t>GABRI-26014</t>
  </si>
  <si>
    <t>MSDU5007712</t>
  </si>
  <si>
    <t>GABRI-26009</t>
  </si>
  <si>
    <t>EISU8548773</t>
  </si>
  <si>
    <t>GABRI-26011</t>
  </si>
  <si>
    <t>CSNU6156135</t>
  </si>
  <si>
    <t>GABRI-26012</t>
  </si>
  <si>
    <t>OOCU8746656</t>
  </si>
  <si>
    <t>GABRI-26013</t>
  </si>
  <si>
    <t>FCIU9945477</t>
  </si>
  <si>
    <t>GABRI-26015</t>
  </si>
  <si>
    <t>CSGU6063368</t>
  </si>
  <si>
    <t>GAC-26010</t>
  </si>
  <si>
    <t>TRHU5812536</t>
  </si>
  <si>
    <t>GAC-26011</t>
  </si>
  <si>
    <t>GCXU6508917</t>
  </si>
  <si>
    <t xml:space="preserve">HMMU4132160 </t>
  </si>
  <si>
    <t>PAT-26001</t>
  </si>
  <si>
    <t>CARLOS MANUEL BARRIOS LARA</t>
  </si>
  <si>
    <t>MSNU8514665</t>
  </si>
  <si>
    <t>PAT-26003</t>
  </si>
  <si>
    <t>CAAU7938246</t>
  </si>
  <si>
    <t>PAT-26004</t>
  </si>
  <si>
    <t>QUALITEMS IMPORTACIONES, SA DE CV</t>
  </si>
  <si>
    <t>CAJU5858554</t>
  </si>
  <si>
    <t>PAT-26005</t>
  </si>
  <si>
    <t>CAJU5935671</t>
  </si>
  <si>
    <t>PAT-26006</t>
  </si>
  <si>
    <t>MSDU5994529</t>
  </si>
  <si>
    <t>DACH-26003</t>
  </si>
  <si>
    <t>Daniel Cherem</t>
  </si>
  <si>
    <t>COMERCIALIZADORA BEPASI SA DE CV</t>
  </si>
  <si>
    <t>EITU0592794</t>
  </si>
  <si>
    <t>HUA-26001</t>
  </si>
  <si>
    <t>YOSHUA CREDI</t>
  </si>
  <si>
    <t>LA HAMACA Y EL REBOZO  SAPI DE CV</t>
  </si>
  <si>
    <t>CAIU6275820</t>
  </si>
  <si>
    <t>LAZARO,ALL RAIL TO PANTACO</t>
  </si>
  <si>
    <t>M-ABY-SKM-ANM-260058</t>
  </si>
  <si>
    <t>KOBI TO ABY-SKM-ANM</t>
  </si>
  <si>
    <t>MSMU5616119</t>
  </si>
  <si>
    <t>M-SKM-ZUZU-260056</t>
  </si>
  <si>
    <t>KOBI TO MAYER SAKAL+ZUZU</t>
  </si>
  <si>
    <t>MSMU8498792</t>
  </si>
  <si>
    <t>M-SKM-260026</t>
  </si>
  <si>
    <t>KOBI TO MAYER SAKAL</t>
  </si>
  <si>
    <t>FBLU0096469</t>
  </si>
  <si>
    <t>M-SKM-260025</t>
  </si>
  <si>
    <t>FFAU2238480</t>
  </si>
  <si>
    <t>M-SKM-260030</t>
  </si>
  <si>
    <t>MSMU8464236</t>
  </si>
  <si>
    <t>M-SKM-260028</t>
  </si>
  <si>
    <t>MEDU4516507</t>
  </si>
  <si>
    <t>M-SKM-260031</t>
  </si>
  <si>
    <t>MEDU7150176</t>
  </si>
  <si>
    <t>M-SKM-260036</t>
  </si>
  <si>
    <t>FFAU4090406</t>
  </si>
  <si>
    <t>M-SKM-260037</t>
  </si>
  <si>
    <t>TCLU7890305</t>
  </si>
  <si>
    <t>M-SKM-260042</t>
  </si>
  <si>
    <t>UETU6713720</t>
  </si>
  <si>
    <t>M-SKM-260043</t>
  </si>
  <si>
    <t>MSNU5397117</t>
  </si>
  <si>
    <t>M-SKM-260055</t>
  </si>
  <si>
    <t>MSDU5884516</t>
  </si>
  <si>
    <t>M-ANM-260021</t>
  </si>
  <si>
    <t>KOBI TO ANM(MR VICTOR)</t>
  </si>
  <si>
    <t>MSMU7810632</t>
  </si>
  <si>
    <t>M-ANM-260022</t>
  </si>
  <si>
    <t>MEDU7709726</t>
  </si>
  <si>
    <t>MTC-26001</t>
  </si>
  <si>
    <t>Moshe Tuachi-TF ASESORIA ADUANERA S DE RL DE CV</t>
  </si>
  <si>
    <t>MOTU1416640</t>
  </si>
  <si>
    <t>JAZD-26019</t>
  </si>
  <si>
    <t>ABMUSS-PORT</t>
  </si>
  <si>
    <t>ONEU7073155</t>
  </si>
  <si>
    <t>JAZD-26022</t>
  </si>
  <si>
    <t>HMMU4345253</t>
  </si>
  <si>
    <t>JAZD-26027</t>
  </si>
  <si>
    <t>TXGU8167944</t>
  </si>
  <si>
    <t>WH</t>
  </si>
  <si>
    <t>JAZD-26031</t>
  </si>
  <si>
    <t>HMMU6976704</t>
  </si>
  <si>
    <t>JAZD-26021</t>
  </si>
  <si>
    <t>MSNU7711546</t>
  </si>
  <si>
    <t>JAZD-26026</t>
  </si>
  <si>
    <t>MSNU7351115</t>
  </si>
  <si>
    <t>JAZD-26038</t>
  </si>
  <si>
    <t>KOCU4251335</t>
  </si>
  <si>
    <t>DAZO-26001</t>
  </si>
  <si>
    <t>daniel zonana/mossie zonana</t>
  </si>
  <si>
    <t>TCNU1560751</t>
  </si>
  <si>
    <t>M-26036</t>
  </si>
  <si>
    <t>TLLU7725269</t>
  </si>
  <si>
    <t>SAAL-26001</t>
  </si>
  <si>
    <t>SALO ALFIE</t>
  </si>
  <si>
    <t>JERARKYNG S.A DE C.V</t>
  </si>
  <si>
    <t>MRSU9394982</t>
  </si>
  <si>
    <t>MAR-26001</t>
  </si>
  <si>
    <t>JAIME PERETZ</t>
  </si>
  <si>
    <t>BICICLETAS MERCURIO</t>
  </si>
  <si>
    <t>HMMU6113405</t>
  </si>
  <si>
    <t>MAR-26002</t>
  </si>
  <si>
    <t>KOCU4933150</t>
  </si>
  <si>
    <t>MAR-26003</t>
  </si>
  <si>
    <t>CAIU7385462</t>
  </si>
  <si>
    <t>MAR-26004</t>
  </si>
  <si>
    <t>HMMU6451547</t>
  </si>
  <si>
    <t>MAR-26005</t>
  </si>
  <si>
    <t>FFAU6338723</t>
  </si>
  <si>
    <t>RCVD DATE</t>
  </si>
  <si>
    <t>RCVD AMT</t>
  </si>
  <si>
    <t>Paid From</t>
  </si>
  <si>
    <t>Paid TO</t>
  </si>
  <si>
    <t>RE-MARK</t>
  </si>
  <si>
    <t xml:space="preserve">PAGO EN EFECTIVO </t>
  </si>
  <si>
    <t>ML HK</t>
  </si>
  <si>
    <t>MEXICO</t>
  </si>
  <si>
    <t xml:space="preserve">          </t>
  </si>
  <si>
    <t>DESCONTADO POR ACUERDO</t>
  </si>
  <si>
    <t>SERVICIOS MERCANTILES OS SA DE CV</t>
  </si>
  <si>
    <t xml:space="preserve">Remanente de 2025 aplicado a 2026 </t>
  </si>
  <si>
    <t>KESEF GLOBAL GROUP, S.A</t>
  </si>
  <si>
    <t>S</t>
  </si>
  <si>
    <t>ORDER EXPRESS,INC</t>
  </si>
  <si>
    <t>$43,529.88</t>
  </si>
  <si>
    <t>s</t>
  </si>
  <si>
    <t xml:space="preserve"> GRUPO ELEMENTOS BGM SA DE CV</t>
  </si>
  <si>
    <t>GRUPO LOGISTICO IMEM S.A. DE C.V.</t>
  </si>
  <si>
    <t xml:space="preserve">JIV </t>
  </si>
  <si>
    <t xml:space="preserve">MAGU5385717 </t>
  </si>
  <si>
    <t xml:space="preserve">KOCU5084778  </t>
  </si>
  <si>
    <t xml:space="preserve">HMMU6802955 </t>
  </si>
  <si>
    <t xml:space="preserve">TRHU4970408 </t>
  </si>
  <si>
    <t xml:space="preserve">BEAU5348038  </t>
  </si>
  <si>
    <t xml:space="preserve">ONEU6827749  </t>
  </si>
  <si>
    <t xml:space="preserve">TGBU9760653 </t>
  </si>
  <si>
    <t xml:space="preserve">ONEU6191180 </t>
  </si>
  <si>
    <t xml:space="preserve">TRHU4788733  </t>
  </si>
  <si>
    <t xml:space="preserve">KOCU4693110  </t>
  </si>
  <si>
    <t xml:space="preserve">ONEU7652440 </t>
  </si>
  <si>
    <t xml:space="preserve">ONEU6325925 </t>
  </si>
  <si>
    <t xml:space="preserve">MTSU9602760 </t>
  </si>
  <si>
    <t xml:space="preserve">FFAU6714559 </t>
  </si>
  <si>
    <t xml:space="preserve">TIIU4001904 </t>
  </si>
  <si>
    <t xml:space="preserve">HMMU6364653 </t>
  </si>
  <si>
    <t xml:space="preserve">FFAU6757442 </t>
  </si>
  <si>
    <t xml:space="preserve">ONEU5656359 </t>
  </si>
  <si>
    <t xml:space="preserve">ONEU0012100 </t>
  </si>
  <si>
    <t>CVC NET S.A de C.V</t>
  </si>
  <si>
    <t>GRUPO ELEMENTOS BGM SA DE CV</t>
  </si>
  <si>
    <t>TEXTILES KALIL SA DE CV</t>
  </si>
  <si>
    <t>KESEF GLOBAL GROUP, S.A.</t>
  </si>
  <si>
    <t>AASZ (GLAM)</t>
  </si>
  <si>
    <t>COMPRY TECH BE SA DE CV</t>
  </si>
  <si>
    <t>ORDER EXPRESS, INC.</t>
  </si>
  <si>
    <t>Este me lo pasaron y se aplico a Man pero China lo manda como si fuera de BH</t>
  </si>
  <si>
    <t>NOVUPESO,S.A. DE C.V.</t>
  </si>
  <si>
    <t>Este me lo pasaron y se aplico a Yosef pero China lo manda como si fuera de Man</t>
  </si>
  <si>
    <t>NOVROCK DOS S.A. DE C.V.</t>
  </si>
  <si>
    <t>Este me lo pasaron y se aplico a BH pero China lo manda como si fuera de Yosef</t>
  </si>
  <si>
    <t>JISA(GROUP LUCK)</t>
  </si>
  <si>
    <t>MIXKOBA S.A. DE C.V</t>
  </si>
  <si>
    <t>IMPORTACIONES BLOOM SA DE CV</t>
  </si>
  <si>
    <t>KARTELIA, S. DE R.L. DE C.V.</t>
  </si>
  <si>
    <t>NOVIROCK (FASHION LINK S.A. DE C.V.)</t>
  </si>
  <si>
    <t>Salomón Jasqui</t>
  </si>
  <si>
    <t>FASHION LINK S.A. DE C.V.</t>
  </si>
  <si>
    <t>NEXTRAM DISTRIBUIDORA SA DE CV</t>
  </si>
  <si>
    <t>MARITEXTEL SA DE CV</t>
  </si>
  <si>
    <t>REBE</t>
  </si>
  <si>
    <t>8088021954 - VIP Logo Inc</t>
  </si>
  <si>
    <t>AASZ</t>
  </si>
  <si>
    <t>STRANGER</t>
  </si>
  <si>
    <t>XAYAK SA DE CV</t>
  </si>
  <si>
    <t>ANM (KOBI)</t>
  </si>
  <si>
    <t>TEXTILES KALIL SA DE CV(MIXKOBA)</t>
  </si>
  <si>
    <t>Comercializadora Criss Canada SAPI de CV</t>
  </si>
  <si>
    <t>COMUNICACIÓN Y ACCESORIOS S.A. DE C.V.</t>
  </si>
  <si>
    <t>No reportados en Statement</t>
  </si>
  <si>
    <t xml:space="preserve">TEXTILES KALIL SA DE CV </t>
  </si>
  <si>
    <t>CREACIONES MACCIRE SA DE CV</t>
  </si>
  <si>
    <t xml:space="preserve">GRUPO IMPORTADOR LUK SA DE CV </t>
  </si>
  <si>
    <t>10/14/2026</t>
  </si>
  <si>
    <t xml:space="preserve">CREACIONES MACCIRE SA DE CV </t>
  </si>
  <si>
    <t>Aplicados 800 en 2025 y 5000 en 2026</t>
  </si>
  <si>
    <t>NUDU-25001</t>
    <phoneticPr fontId="0" type="noConversion"/>
  </si>
  <si>
    <t>NUDU</t>
    <phoneticPr fontId="0" type="noConversion"/>
  </si>
  <si>
    <t>TLX</t>
    <phoneticPr fontId="0" type="noConversion"/>
  </si>
  <si>
    <t>MSDU5299321</t>
  </si>
  <si>
    <t>MSC</t>
    <phoneticPr fontId="0" type="noConversion"/>
  </si>
  <si>
    <t>NINGBO</t>
    <phoneticPr fontId="0" type="noConversion"/>
  </si>
  <si>
    <t>LAZARO CARDENAS</t>
    <phoneticPr fontId="0" type="noConversion"/>
  </si>
  <si>
    <t>NUDU-25002</t>
    <phoneticPr fontId="0" type="noConversion"/>
  </si>
  <si>
    <t>TCLU5197061</t>
  </si>
  <si>
    <t>NUDU-25004</t>
    <phoneticPr fontId="0" type="noConversion"/>
  </si>
  <si>
    <t>MSMU6679960</t>
  </si>
  <si>
    <t>NUDU-25005</t>
    <phoneticPr fontId="0" type="noConversion"/>
  </si>
  <si>
    <t>MSDU7295156</t>
  </si>
  <si>
    <t>NUDU-25003</t>
    <phoneticPr fontId="0" type="noConversion"/>
  </si>
  <si>
    <t>TCLU1828195</t>
  </si>
  <si>
    <t>CMA</t>
    <phoneticPr fontId="0" type="noConversion"/>
  </si>
  <si>
    <t>TIANJIN</t>
    <phoneticPr fontId="0" type="noConversion"/>
  </si>
  <si>
    <t>NUDU-25006</t>
    <phoneticPr fontId="0" type="noConversion"/>
  </si>
  <si>
    <t>TCNU3932246</t>
  </si>
  <si>
    <t>NUDU-25007</t>
    <phoneticPr fontId="0" type="noConversion"/>
  </si>
  <si>
    <t>TGBU4934182</t>
  </si>
  <si>
    <t>NUDU-25012</t>
    <phoneticPr fontId="0" type="noConversion"/>
  </si>
  <si>
    <t>ECMU4783494</t>
  </si>
  <si>
    <t>NUDU-25008</t>
    <phoneticPr fontId="0" type="noConversion"/>
  </si>
  <si>
    <t>MSMU8296533</t>
  </si>
  <si>
    <t>NUDU-25009</t>
    <phoneticPr fontId="0" type="noConversion"/>
  </si>
  <si>
    <t>TGBU4472839</t>
  </si>
  <si>
    <t>NUDU-25010</t>
    <phoneticPr fontId="0" type="noConversion"/>
  </si>
  <si>
    <t>HPCU4813745</t>
  </si>
  <si>
    <t>PIL</t>
    <phoneticPr fontId="0" type="noConversion"/>
  </si>
  <si>
    <t>NUDU-25013</t>
    <phoneticPr fontId="0" type="noConversion"/>
  </si>
  <si>
    <t>PCIU9423045</t>
  </si>
  <si>
    <t>NUDU-25014</t>
    <phoneticPr fontId="0" type="noConversion"/>
  </si>
  <si>
    <t>CSNU7283052</t>
  </si>
  <si>
    <t>COSCO</t>
    <phoneticPr fontId="0" type="noConversion"/>
  </si>
  <si>
    <t>QINGDAO</t>
    <phoneticPr fontId="0" type="noConversion"/>
  </si>
  <si>
    <t>NUDU-25015</t>
    <phoneticPr fontId="0" type="noConversion"/>
  </si>
  <si>
    <t>CSNU8815740</t>
    <phoneticPr fontId="0" type="noConversion"/>
  </si>
  <si>
    <t>LAZARO CARDENAS</t>
  </si>
  <si>
    <t>NUDU-25011</t>
    <phoneticPr fontId="0" type="noConversion"/>
  </si>
  <si>
    <t>TCLU8914422</t>
  </si>
  <si>
    <t>NUDU-25019</t>
    <phoneticPr fontId="0" type="noConversion"/>
  </si>
  <si>
    <t>EGSU1026367</t>
  </si>
  <si>
    <t>EMC</t>
    <phoneticPr fontId="0" type="noConversion"/>
  </si>
  <si>
    <t>SHEKOU</t>
    <phoneticPr fontId="0" type="noConversion"/>
  </si>
  <si>
    <t>NUDU-25020</t>
    <phoneticPr fontId="0" type="noConversion"/>
  </si>
  <si>
    <t>CMAU9699022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</si>
</sst>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44" formatCode="_-* #,##0.00\ &quot;€&quot;_-;\-* #,##0.00\ &quot;€&quot;_-;_-* &quot;-&quot;??\ &quot;€&quot;_-;_-@_-"/>
    <numFmt numFmtId="164" formatCode="&quot;$&quot;#,##0.00;[Red]\-&quot;$&quot;#,##0.00"/>
    <numFmt numFmtId="165" formatCode="_-&quot;$&quot;* #,##0.00_-;\-&quot;$&quot;* #,##0.00_-;_-&quot;$&quot;* &quot;-&quot;??_-;_-@_-"/>
    <numFmt numFmtId="166" formatCode="&quot;$&quot;#,##0"/>
    <numFmt numFmtId="167" formatCode="\$#,##0;\-\$#,##0"/>
    <numFmt numFmtId="168" formatCode="m/d"/>
    <numFmt numFmtId="169" formatCode="\$#,##0.00;\-\$#,##0.00"/>
    <numFmt numFmtId="170" formatCode="&quot;$&quot;#,##0.00"/>
    <numFmt numFmtId="171" formatCode="_-[$$-409]* #,##0_ ;_-[$$-409]* \-#,##0\ ;_-[$$-409]* &quot;-&quot;??_ ;_-@_ "/>
    <numFmt numFmtId="172" formatCode="#,##0.00_ ;\-#,##0.00\ "/>
    <numFmt numFmtId="173" formatCode="#,##0.0_ ;\-#,##0.0\ "/>
  </numFmts>
  <fonts count="58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</font>
    <font>
      <sz val="9"/>
      <name val="Calibri"/>
      <family val="2"/>
    </font>
    <font>
      <sz val="9"/>
      <color theme="1"/>
      <name val="Calibri"/>
      <family val="2"/>
    </font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name val="Calibri"/>
      <family val="2"/>
    </font>
    <font>
      <sz val="12"/>
      <color theme="1"/>
      <name val="Aptos Narrow"/>
      <family val="2"/>
      <scheme val="minor"/>
    </font>
    <font>
      <sz val="10"/>
      <color rgb="FF000000"/>
      <name val="Calibri"/>
      <family val="2"/>
    </font>
    <font>
      <sz val="11"/>
      <color theme="1"/>
      <name val="Arial"/>
      <family val="2"/>
    </font>
    <font>
      <b/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1"/>
      <name val="Aptos Narrow"/>
      <family val="2"/>
      <scheme val="minor"/>
    </font>
    <font>
      <sz val="9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name val="Calibri"/>
      <family val="2"/>
    </font>
    <font>
      <b/>
      <sz val="12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1"/>
      <name val="Calibri"/>
      <family val="2"/>
    </font>
    <font>
      <b/>
      <sz val="9"/>
      <name val="Calibri"/>
      <family val="2"/>
    </font>
    <font>
      <sz val="11"/>
      <color theme="1"/>
      <name val="Aptos Narrow"/>
      <family val="3"/>
      <charset val="134"/>
      <scheme val="minor"/>
    </font>
    <font>
      <b/>
      <sz val="11"/>
      <color theme="1"/>
      <name val="Calibri"/>
      <family val="2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name val="Calibri"/>
      <family val="2"/>
    </font>
    <font>
      <b/>
      <sz val="12"/>
      <color theme="1"/>
      <name val="Arial"/>
      <family val="2"/>
    </font>
    <font>
      <sz val="8"/>
      <color theme="1"/>
      <name val="Aptos Narrow"/>
      <family val="2"/>
      <scheme val="minor"/>
    </font>
    <font>
      <sz val="8"/>
      <name val="Calibri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Aptos Narrow"/>
      <family val="2"/>
      <scheme val="minor"/>
    </font>
    <font>
      <sz val="11"/>
      <color rgb="FF000000"/>
      <name val="Arial"/>
      <family val="2"/>
      <charset val="1"/>
    </font>
    <font>
      <sz val="11"/>
      <color rgb="FFFF000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8"/>
      <name val="Calibri"/>
      <family val="2"/>
    </font>
    <font>
      <sz val="11"/>
      <color indexed="8"/>
      <name val="宋体"/>
      <charset val="134"/>
    </font>
    <font>
      <sz val="10"/>
      <name val="Arial"/>
      <family val="2"/>
    </font>
    <font>
      <sz val="12"/>
      <name val="宋体"/>
      <charset val="134"/>
    </font>
    <font>
      <sz val="11"/>
      <color indexed="8"/>
      <name val="맑은 고딕"/>
      <family val="2"/>
      <charset val="129"/>
    </font>
    <font>
      <sz val="11"/>
      <color theme="1"/>
      <name val="宋体"/>
      <charset val="134"/>
    </font>
    <font>
      <b/>
      <sz val="9"/>
      <name val="Aptos Narrow"/>
      <family val="2"/>
      <scheme val="minor"/>
    </font>
    <font>
      <b/>
      <sz val="8"/>
      <name val="Aptos Narrow"/>
      <family val="2"/>
      <scheme val="minor"/>
    </font>
    <font>
      <b/>
      <sz val="10"/>
      <name val="Arial"/>
      <family val="2"/>
    </font>
    <font>
      <sz val="9"/>
      <name val="Arial"/>
      <family val="2"/>
    </font>
    <font>
      <sz val="10"/>
      <color rgb="FFFF0000"/>
      <name val="Calibri"/>
      <family val="2"/>
    </font>
    <font>
      <sz val="10"/>
      <name val="Calibri"/>
    </font>
    <font>
      <sz val="10"/>
      <color theme="1"/>
      <name val="Calibri"/>
    </font>
    <font>
      <b/>
      <sz val="10"/>
      <name val="Calibri"/>
    </font>
  </fonts>
  <fills count="1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</borders>
  <cellStyleXfs count="27">
    <xf numFmtId="0" fontId="0" fillId="0" borderId="0"/>
    <xf numFmtId="0" fontId="8" fillId="0" borderId="0">
      <alignment vertical="center"/>
    </xf>
    <xf numFmtId="0" fontId="3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165" fontId="8" fillId="0" borderId="0" applyFont="0" applyFill="0" applyBorder="0" applyAlignment="0" applyProtection="0"/>
    <xf numFmtId="0" fontId="8" fillId="0" borderId="0">
      <alignment vertical="center"/>
    </xf>
    <xf numFmtId="0" fontId="46" fillId="0" borderId="0"/>
    <xf numFmtId="0" fontId="8" fillId="0" borderId="0">
      <alignment vertical="center"/>
    </xf>
    <xf numFmtId="0" fontId="8" fillId="0" borderId="0"/>
    <xf numFmtId="0" fontId="45" fillId="0" borderId="0">
      <alignment vertical="center"/>
    </xf>
    <xf numFmtId="0" fontId="47" fillId="0" borderId="0"/>
    <xf numFmtId="0" fontId="48" fillId="0" borderId="0">
      <alignment vertical="center"/>
    </xf>
    <xf numFmtId="0" fontId="49" fillId="0" borderId="0">
      <alignment vertical="center"/>
    </xf>
    <xf numFmtId="0" fontId="8" fillId="0" borderId="0">
      <alignment vertical="center"/>
    </xf>
  </cellStyleXfs>
  <cellXfs count="477">
    <xf numFmtId="0" fontId="0" fillId="0" borderId="0" xfId="0"/>
    <xf numFmtId="166" fontId="0" fillId="0" borderId="0" xfId="0" applyNumberFormat="1"/>
    <xf numFmtId="167" fontId="2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66" fontId="4" fillId="2" borderId="1" xfId="0" applyNumberFormat="1" applyFont="1" applyFill="1" applyBorder="1" applyAlignment="1">
      <alignment horizontal="center" vertical="center" wrapText="1"/>
    </xf>
    <xf numFmtId="167" fontId="0" fillId="0" borderId="0" xfId="0" applyNumberForma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68" fontId="3" fillId="3" borderId="1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168" fontId="6" fillId="3" borderId="1" xfId="0" applyNumberFormat="1" applyFont="1" applyFill="1" applyBorder="1" applyAlignment="1">
      <alignment horizontal="left" vertical="center" wrapText="1"/>
    </xf>
    <xf numFmtId="166" fontId="3" fillId="3" borderId="1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horizontal="center" vertical="center"/>
    </xf>
    <xf numFmtId="0" fontId="0" fillId="4" borderId="0" xfId="0" applyFill="1"/>
    <xf numFmtId="0" fontId="3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68" fontId="3" fillId="4" borderId="1" xfId="0" applyNumberFormat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168" fontId="6" fillId="4" borderId="1" xfId="0" applyNumberFormat="1" applyFont="1" applyFill="1" applyBorder="1" applyAlignment="1">
      <alignment horizontal="left" vertical="center" wrapText="1"/>
    </xf>
    <xf numFmtId="166" fontId="3" fillId="4" borderId="1" xfId="0" applyNumberFormat="1" applyFont="1" applyFill="1" applyBorder="1" applyAlignment="1">
      <alignment horizontal="center" vertical="center"/>
    </xf>
    <xf numFmtId="167" fontId="3" fillId="4" borderId="1" xfId="0" applyNumberFormat="1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left" vertical="center"/>
    </xf>
    <xf numFmtId="168" fontId="3" fillId="4" borderId="3" xfId="0" applyNumberFormat="1" applyFont="1" applyFill="1" applyBorder="1" applyAlignment="1">
      <alignment horizontal="center" vertical="center"/>
    </xf>
    <xf numFmtId="166" fontId="1" fillId="4" borderId="0" xfId="0" applyNumberFormat="1" applyFont="1" applyFill="1"/>
    <xf numFmtId="167" fontId="0" fillId="0" borderId="0" xfId="0" applyNumberFormat="1"/>
    <xf numFmtId="0" fontId="12" fillId="0" borderId="0" xfId="0" applyFont="1"/>
    <xf numFmtId="167" fontId="4" fillId="2" borderId="1" xfId="0" applyNumberFormat="1" applyFont="1" applyFill="1" applyBorder="1" applyAlignment="1">
      <alignment horizontal="center" vertical="center" wrapText="1"/>
    </xf>
    <xf numFmtId="167" fontId="11" fillId="0" borderId="0" xfId="0" applyNumberFormat="1" applyFont="1"/>
    <xf numFmtId="0" fontId="12" fillId="0" borderId="0" xfId="0" applyFont="1" applyAlignment="1">
      <alignment horizontal="left" vertical="top"/>
    </xf>
    <xf numFmtId="167" fontId="14" fillId="0" borderId="0" xfId="0" applyNumberFormat="1" applyFont="1" applyAlignment="1">
      <alignment horizontal="center" vertical="center"/>
    </xf>
    <xf numFmtId="167" fontId="2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8" fontId="3" fillId="0" borderId="1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 wrapText="1"/>
    </xf>
    <xf numFmtId="167" fontId="23" fillId="0" borderId="0" xfId="0" applyNumberFormat="1" applyFont="1" applyAlignment="1">
      <alignment horizontal="center" vertical="center"/>
    </xf>
    <xf numFmtId="166" fontId="18" fillId="0" borderId="0" xfId="0" applyNumberFormat="1" applyFont="1" applyAlignment="1">
      <alignment horizontal="center" vertical="center"/>
    </xf>
    <xf numFmtId="170" fontId="0" fillId="0" borderId="0" xfId="0" applyNumberFormat="1"/>
    <xf numFmtId="0" fontId="24" fillId="5" borderId="1" xfId="0" applyFont="1" applyFill="1" applyBorder="1" applyAlignment="1">
      <alignment horizontal="center" vertical="center" wrapText="1"/>
    </xf>
    <xf numFmtId="0" fontId="24" fillId="5" borderId="2" xfId="0" applyFont="1" applyFill="1" applyBorder="1" applyAlignment="1">
      <alignment horizontal="center" vertical="center" wrapText="1"/>
    </xf>
    <xf numFmtId="170" fontId="24" fillId="5" borderId="1" xfId="0" applyNumberFormat="1" applyFont="1" applyFill="1" applyBorder="1" applyAlignment="1">
      <alignment horizontal="center" vertical="center" wrapText="1"/>
    </xf>
    <xf numFmtId="166" fontId="24" fillId="5" borderId="1" xfId="0" applyNumberFormat="1" applyFont="1" applyFill="1" applyBorder="1" applyAlignment="1">
      <alignment horizontal="center" vertical="center" wrapText="1"/>
    </xf>
    <xf numFmtId="0" fontId="11" fillId="4" borderId="0" xfId="0" applyFont="1" applyFill="1"/>
    <xf numFmtId="0" fontId="0" fillId="0" borderId="0" xfId="0" applyAlignment="1">
      <alignment wrapText="1"/>
    </xf>
    <xf numFmtId="166" fontId="0" fillId="0" borderId="0" xfId="0" applyNumberFormat="1" applyAlignment="1">
      <alignment horizontal="center" vertical="center"/>
    </xf>
    <xf numFmtId="0" fontId="24" fillId="2" borderId="1" xfId="0" applyFont="1" applyFill="1" applyBorder="1" applyAlignment="1">
      <alignment horizontal="center" vertical="center" wrapText="1"/>
    </xf>
    <xf numFmtId="166" fontId="24" fillId="2" borderId="1" xfId="0" applyNumberFormat="1" applyFont="1" applyFill="1" applyBorder="1" applyAlignment="1">
      <alignment horizontal="center" vertical="center" wrapText="1"/>
    </xf>
    <xf numFmtId="0" fontId="24" fillId="6" borderId="1" xfId="0" applyFont="1" applyFill="1" applyBorder="1" applyAlignment="1">
      <alignment horizontal="center" vertical="center" wrapText="1"/>
    </xf>
    <xf numFmtId="166" fontId="24" fillId="7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left"/>
    </xf>
    <xf numFmtId="170" fontId="0" fillId="0" borderId="0" xfId="0" applyNumberFormat="1" applyAlignment="1">
      <alignment horizontal="center" vertical="center"/>
    </xf>
    <xf numFmtId="14" fontId="17" fillId="2" borderId="1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170" fontId="0" fillId="9" borderId="1" xfId="0" applyNumberFormat="1" applyFill="1" applyBorder="1" applyAlignment="1">
      <alignment horizontal="center" vertical="center"/>
    </xf>
    <xf numFmtId="166" fontId="0" fillId="4" borderId="0" xfId="0" applyNumberFormat="1" applyFill="1"/>
    <xf numFmtId="0" fontId="24" fillId="2" borderId="2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170" fontId="31" fillId="5" borderId="1" xfId="0" applyNumberFormat="1" applyFont="1" applyFill="1" applyBorder="1" applyAlignment="1">
      <alignment horizontal="center" vertical="center" wrapText="1"/>
    </xf>
    <xf numFmtId="167" fontId="16" fillId="0" borderId="0" xfId="0" applyNumberFormat="1" applyFont="1" applyAlignment="1">
      <alignment horizontal="left" vertical="center" wrapText="1"/>
    </xf>
    <xf numFmtId="168" fontId="6" fillId="0" borderId="1" xfId="0" applyNumberFormat="1" applyFont="1" applyBorder="1" applyAlignment="1">
      <alignment horizontal="left" vertical="center" wrapText="1"/>
    </xf>
    <xf numFmtId="0" fontId="31" fillId="0" borderId="1" xfId="0" applyFont="1" applyBorder="1" applyAlignment="1">
      <alignment horizontal="center" vertical="center"/>
    </xf>
    <xf numFmtId="166" fontId="33" fillId="3" borderId="1" xfId="0" applyNumberFormat="1" applyFont="1" applyFill="1" applyBorder="1"/>
    <xf numFmtId="0" fontId="11" fillId="0" borderId="0" xfId="0" applyFont="1"/>
    <xf numFmtId="0" fontId="2" fillId="8" borderId="1" xfId="0" applyFont="1" applyFill="1" applyBorder="1" applyAlignment="1">
      <alignment horizontal="center" vertical="center"/>
    </xf>
    <xf numFmtId="166" fontId="2" fillId="8" borderId="1" xfId="0" applyNumberFormat="1" applyFont="1" applyFill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 vertical="center"/>
    </xf>
    <xf numFmtId="167" fontId="2" fillId="3" borderId="8" xfId="0" applyNumberFormat="1" applyFont="1" applyFill="1" applyBorder="1" applyAlignment="1">
      <alignment horizontal="center" vertical="center"/>
    </xf>
    <xf numFmtId="166" fontId="0" fillId="7" borderId="1" xfId="0" applyNumberForma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166" fontId="11" fillId="0" borderId="1" xfId="0" applyNumberFormat="1" applyFont="1" applyBorder="1"/>
    <xf numFmtId="166" fontId="3" fillId="0" borderId="1" xfId="0" applyNumberFormat="1" applyFont="1" applyBorder="1" applyAlignment="1">
      <alignment horizontal="center" vertical="center"/>
    </xf>
    <xf numFmtId="167" fontId="0" fillId="0" borderId="0" xfId="0" applyNumberForma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/>
    </xf>
    <xf numFmtId="0" fontId="29" fillId="5" borderId="1" xfId="0" applyFont="1" applyFill="1" applyBorder="1" applyAlignment="1">
      <alignment horizontal="center" vertical="center" wrapText="1"/>
    </xf>
    <xf numFmtId="0" fontId="29" fillId="5" borderId="2" xfId="0" applyFont="1" applyFill="1" applyBorder="1" applyAlignment="1">
      <alignment horizontal="center" vertical="center" wrapText="1"/>
    </xf>
    <xf numFmtId="166" fontId="29" fillId="5" borderId="1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4" fontId="18" fillId="0" borderId="0" xfId="0" applyNumberFormat="1" applyFont="1" applyAlignment="1">
      <alignment horizontal="center" vertical="center"/>
    </xf>
    <xf numFmtId="167" fontId="35" fillId="3" borderId="1" xfId="0" applyNumberFormat="1" applyFont="1" applyFill="1" applyBorder="1" applyAlignment="1">
      <alignment horizontal="center" vertical="center"/>
    </xf>
    <xf numFmtId="167" fontId="33" fillId="3" borderId="1" xfId="0" applyNumberFormat="1" applyFont="1" applyFill="1" applyBorder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6" fontId="33" fillId="3" borderId="1" xfId="0" applyNumberFormat="1" applyFont="1" applyFill="1" applyBorder="1" applyAlignment="1">
      <alignment horizontal="center" vertical="center"/>
    </xf>
    <xf numFmtId="166" fontId="33" fillId="3" borderId="1" xfId="0" applyNumberFormat="1" applyFont="1" applyFill="1" applyBorder="1" applyAlignment="1">
      <alignment horizontal="center"/>
    </xf>
    <xf numFmtId="0" fontId="36" fillId="0" borderId="0" xfId="0" applyFont="1" applyAlignment="1">
      <alignment horizontal="left"/>
    </xf>
    <xf numFmtId="166" fontId="10" fillId="0" borderId="0" xfId="0" applyNumberFormat="1" applyFont="1" applyAlignment="1">
      <alignment horizontal="center" vertical="center"/>
    </xf>
    <xf numFmtId="167" fontId="27" fillId="0" borderId="1" xfId="0" applyNumberFormat="1" applyFont="1" applyBorder="1" applyAlignment="1">
      <alignment horizontal="center" vertical="center"/>
    </xf>
    <xf numFmtId="166" fontId="17" fillId="2" borderId="1" xfId="0" applyNumberFormat="1" applyFont="1" applyFill="1" applyBorder="1" applyAlignment="1">
      <alignment horizontal="center" vertical="center" wrapText="1"/>
    </xf>
    <xf numFmtId="0" fontId="38" fillId="0" borderId="0" xfId="0" applyFont="1" applyAlignment="1">
      <alignment horizontal="center" vertical="center"/>
    </xf>
    <xf numFmtId="0" fontId="36" fillId="0" borderId="0" xfId="0" applyFont="1"/>
    <xf numFmtId="166" fontId="11" fillId="0" borderId="0" xfId="0" applyNumberFormat="1" applyFont="1"/>
    <xf numFmtId="168" fontId="3" fillId="0" borderId="3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/>
    </xf>
    <xf numFmtId="170" fontId="0" fillId="0" borderId="0" xfId="17" applyNumberFormat="1" applyFont="1"/>
    <xf numFmtId="167" fontId="39" fillId="0" borderId="0" xfId="0" applyNumberFormat="1" applyFont="1" applyAlignment="1">
      <alignment horizontal="center" vertical="center"/>
    </xf>
    <xf numFmtId="0" fontId="4" fillId="2" borderId="9" xfId="0" applyFont="1" applyFill="1" applyBorder="1" applyAlignment="1">
      <alignment horizontal="center" vertical="center" wrapText="1"/>
    </xf>
    <xf numFmtId="170" fontId="33" fillId="3" borderId="1" xfId="0" applyNumberFormat="1" applyFont="1" applyFill="1" applyBorder="1"/>
    <xf numFmtId="168" fontId="3" fillId="0" borderId="1" xfId="0" applyNumberFormat="1" applyFont="1" applyBorder="1" applyAlignment="1">
      <alignment horizontal="left" vertical="center" wrapText="1"/>
    </xf>
    <xf numFmtId="167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7" fontId="26" fillId="3" borderId="1" xfId="0" applyNumberFormat="1" applyFont="1" applyFill="1" applyBorder="1" applyAlignment="1">
      <alignment horizontal="center" vertical="center"/>
    </xf>
    <xf numFmtId="0" fontId="24" fillId="10" borderId="1" xfId="0" applyFont="1" applyFill="1" applyBorder="1" applyAlignment="1">
      <alignment horizontal="center" vertical="center" wrapText="1"/>
    </xf>
    <xf numFmtId="166" fontId="34" fillId="11" borderId="1" xfId="0" applyNumberFormat="1" applyFont="1" applyFill="1" applyBorder="1" applyAlignment="1">
      <alignment horizontal="center" vertical="center" wrapText="1"/>
    </xf>
    <xf numFmtId="0" fontId="34" fillId="10" borderId="1" xfId="0" applyFont="1" applyFill="1" applyBorder="1" applyAlignment="1">
      <alignment horizontal="center" vertical="center" wrapText="1"/>
    </xf>
    <xf numFmtId="167" fontId="24" fillId="2" borderId="1" xfId="0" applyNumberFormat="1" applyFont="1" applyFill="1" applyBorder="1" applyAlignment="1">
      <alignment horizontal="center" vertical="center" wrapText="1"/>
    </xf>
    <xf numFmtId="0" fontId="27" fillId="0" borderId="0" xfId="0" applyFont="1"/>
    <xf numFmtId="0" fontId="4" fillId="5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0" fillId="2" borderId="1" xfId="0" applyFont="1" applyFill="1" applyBorder="1" applyAlignment="1">
      <alignment horizontal="center" vertical="center" wrapText="1"/>
    </xf>
    <xf numFmtId="0" fontId="40" fillId="2" borderId="2" xfId="0" applyFont="1" applyFill="1" applyBorder="1" applyAlignment="1">
      <alignment horizontal="center" vertical="center" wrapText="1"/>
    </xf>
    <xf numFmtId="167" fontId="40" fillId="2" borderId="1" xfId="0" applyNumberFormat="1" applyFont="1" applyFill="1" applyBorder="1" applyAlignment="1">
      <alignment horizontal="center" vertical="center" wrapText="1"/>
    </xf>
    <xf numFmtId="167" fontId="11" fillId="0" borderId="0" xfId="0" applyNumberFormat="1" applyFont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170" fontId="0" fillId="11" borderId="1" xfId="0" applyNumberFormat="1" applyFill="1" applyBorder="1" applyAlignment="1">
      <alignment horizontal="center" vertical="center"/>
    </xf>
    <xf numFmtId="166" fontId="4" fillId="5" borderId="1" xfId="0" applyNumberFormat="1" applyFont="1" applyFill="1" applyBorder="1" applyAlignment="1">
      <alignment horizontal="center" vertical="center" wrapText="1"/>
    </xf>
    <xf numFmtId="166" fontId="25" fillId="0" borderId="0" xfId="0" applyNumberFormat="1" applyFont="1" applyAlignment="1">
      <alignment horizontal="center" vertical="center"/>
    </xf>
    <xf numFmtId="167" fontId="36" fillId="0" borderId="0" xfId="0" applyNumberFormat="1" applyFont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170" fontId="11" fillId="12" borderId="1" xfId="0" applyNumberFormat="1" applyFont="1" applyFill="1" applyBorder="1" applyAlignment="1">
      <alignment horizontal="center" vertical="center"/>
    </xf>
    <xf numFmtId="166" fontId="24" fillId="12" borderId="1" xfId="0" applyNumberFormat="1" applyFont="1" applyFill="1" applyBorder="1" applyAlignment="1">
      <alignment horizontal="center" vertical="center" wrapText="1"/>
    </xf>
    <xf numFmtId="170" fontId="0" fillId="7" borderId="1" xfId="0" applyNumberFormat="1" applyFill="1" applyBorder="1" applyAlignment="1">
      <alignment horizontal="center" vertical="center"/>
    </xf>
    <xf numFmtId="166" fontId="17" fillId="2" borderId="3" xfId="0" applyNumberFormat="1" applyFont="1" applyFill="1" applyBorder="1" applyAlignment="1">
      <alignment horizontal="center" vertical="center" wrapText="1"/>
    </xf>
    <xf numFmtId="166" fontId="17" fillId="2" borderId="2" xfId="0" applyNumberFormat="1" applyFont="1" applyFill="1" applyBorder="1" applyAlignment="1">
      <alignment horizontal="center" vertical="center" wrapText="1"/>
    </xf>
    <xf numFmtId="167" fontId="27" fillId="0" borderId="5" xfId="0" applyNumberFormat="1" applyFont="1" applyBorder="1" applyAlignment="1">
      <alignment horizontal="center" vertical="center"/>
    </xf>
    <xf numFmtId="166" fontId="24" fillId="5" borderId="2" xfId="0" applyNumberFormat="1" applyFont="1" applyFill="1" applyBorder="1" applyAlignment="1">
      <alignment horizontal="center" vertical="center" wrapText="1"/>
    </xf>
    <xf numFmtId="166" fontId="3" fillId="4" borderId="2" xfId="0" applyNumberFormat="1" applyFont="1" applyFill="1" applyBorder="1" applyAlignment="1">
      <alignment horizontal="center" vertical="center"/>
    </xf>
    <xf numFmtId="166" fontId="3" fillId="0" borderId="2" xfId="0" applyNumberFormat="1" applyFont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169" fontId="2" fillId="3" borderId="1" xfId="0" applyNumberFormat="1" applyFont="1" applyFill="1" applyBorder="1"/>
    <xf numFmtId="0" fontId="41" fillId="0" borderId="0" xfId="0" applyFont="1"/>
    <xf numFmtId="171" fontId="0" fillId="0" borderId="0" xfId="0" applyNumberFormat="1" applyAlignment="1">
      <alignment horizontal="center" indent="1"/>
    </xf>
    <xf numFmtId="171" fontId="34" fillId="11" borderId="1" xfId="0" applyNumberFormat="1" applyFont="1" applyFill="1" applyBorder="1" applyAlignment="1">
      <alignment horizontal="center" vertical="center" wrapText="1" indent="1"/>
    </xf>
    <xf numFmtId="168" fontId="3" fillId="0" borderId="1" xfId="0" applyNumberFormat="1" applyFont="1" applyBorder="1" applyAlignment="1">
      <alignment horizontal="center" vertical="center" wrapText="1"/>
    </xf>
    <xf numFmtId="14" fontId="0" fillId="6" borderId="1" xfId="0" applyNumberFormat="1" applyFill="1" applyBorder="1" applyAlignment="1">
      <alignment vertical="center"/>
    </xf>
    <xf numFmtId="166" fontId="0" fillId="7" borderId="1" xfId="0" applyNumberFormat="1" applyFill="1" applyBorder="1" applyAlignment="1">
      <alignment vertical="center"/>
    </xf>
    <xf numFmtId="170" fontId="0" fillId="7" borderId="1" xfId="0" applyNumberFormat="1" applyFill="1" applyBorder="1" applyAlignment="1">
      <alignment vertical="center"/>
    </xf>
    <xf numFmtId="0" fontId="0" fillId="6" borderId="1" xfId="0" applyFill="1" applyBorder="1" applyAlignment="1">
      <alignment horizontal="center" vertical="center"/>
    </xf>
    <xf numFmtId="167" fontId="27" fillId="0" borderId="2" xfId="0" applyNumberFormat="1" applyFont="1" applyBorder="1" applyAlignment="1">
      <alignment horizontal="center" vertical="center"/>
    </xf>
    <xf numFmtId="167" fontId="27" fillId="0" borderId="3" xfId="0" applyNumberFormat="1" applyFont="1" applyBorder="1" applyAlignment="1">
      <alignment horizontal="center" vertical="center"/>
    </xf>
    <xf numFmtId="166" fontId="43" fillId="0" borderId="0" xfId="0" applyNumberFormat="1" applyFont="1" applyAlignment="1">
      <alignment horizontal="center" vertical="center"/>
    </xf>
    <xf numFmtId="167" fontId="18" fillId="0" borderId="0" xfId="0" applyNumberFormat="1" applyFont="1" applyAlignment="1">
      <alignment horizontal="center" vertical="center"/>
    </xf>
    <xf numFmtId="169" fontId="3" fillId="0" borderId="1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168" fontId="19" fillId="0" borderId="3" xfId="0" applyNumberFormat="1" applyFont="1" applyBorder="1" applyAlignment="1">
      <alignment horizontal="center" vertical="center"/>
    </xf>
    <xf numFmtId="168" fontId="32" fillId="0" borderId="1" xfId="0" applyNumberFormat="1" applyFont="1" applyBorder="1" applyAlignment="1">
      <alignment horizontal="left" vertical="center" wrapText="1"/>
    </xf>
    <xf numFmtId="166" fontId="19" fillId="0" borderId="1" xfId="0" applyNumberFormat="1" applyFont="1" applyBorder="1" applyAlignment="1">
      <alignment horizontal="center" vertical="center"/>
    </xf>
    <xf numFmtId="166" fontId="18" fillId="0" borderId="2" xfId="0" applyNumberFormat="1" applyFont="1" applyBorder="1" applyAlignment="1">
      <alignment horizontal="center" vertical="center"/>
    </xf>
    <xf numFmtId="172" fontId="0" fillId="0" borderId="0" xfId="0" applyNumberFormat="1"/>
    <xf numFmtId="173" fontId="0" fillId="0" borderId="0" xfId="0" applyNumberFormat="1"/>
    <xf numFmtId="167" fontId="33" fillId="3" borderId="1" xfId="0" applyNumberFormat="1" applyFont="1" applyFill="1" applyBorder="1"/>
    <xf numFmtId="167" fontId="5" fillId="0" borderId="1" xfId="0" applyNumberFormat="1" applyFont="1" applyBorder="1" applyAlignment="1">
      <alignment horizontal="center" vertical="center"/>
    </xf>
    <xf numFmtId="14" fontId="24" fillId="6" borderId="1" xfId="0" applyNumberFormat="1" applyFont="1" applyFill="1" applyBorder="1" applyAlignment="1">
      <alignment horizontal="center" vertical="center" wrapText="1"/>
    </xf>
    <xf numFmtId="168" fontId="13" fillId="0" borderId="1" xfId="0" applyNumberFormat="1" applyFont="1" applyBorder="1" applyAlignment="1">
      <alignment horizontal="center" vertical="center"/>
    </xf>
    <xf numFmtId="0" fontId="42" fillId="0" borderId="0" xfId="0" applyFont="1"/>
    <xf numFmtId="0" fontId="3" fillId="0" borderId="1" xfId="1" applyFont="1" applyBorder="1" applyAlignment="1">
      <alignment horizontal="center" vertical="center"/>
    </xf>
    <xf numFmtId="168" fontId="3" fillId="0" borderId="1" xfId="1" applyNumberFormat="1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168" fontId="13" fillId="0" borderId="3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168" fontId="20" fillId="0" borderId="4" xfId="0" applyNumberFormat="1" applyFont="1" applyBorder="1" applyAlignment="1">
      <alignment horizontal="center" vertical="center"/>
    </xf>
    <xf numFmtId="168" fontId="21" fillId="0" borderId="1" xfId="0" applyNumberFormat="1" applyFont="1" applyBorder="1" applyAlignment="1">
      <alignment horizontal="left" vertical="center" wrapText="1"/>
    </xf>
    <xf numFmtId="167" fontId="17" fillId="0" borderId="1" xfId="0" applyNumberFormat="1" applyFont="1" applyBorder="1" applyAlignment="1">
      <alignment horizontal="center" vertical="center"/>
    </xf>
    <xf numFmtId="168" fontId="20" fillId="0" borderId="3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168" fontId="20" fillId="0" borderId="1" xfId="0" applyNumberFormat="1" applyFont="1" applyBorder="1" applyAlignment="1">
      <alignment horizontal="center" vertical="center"/>
    </xf>
    <xf numFmtId="168" fontId="20" fillId="0" borderId="2" xfId="0" applyNumberFormat="1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68" fontId="6" fillId="0" borderId="6" xfId="0" applyNumberFormat="1" applyFont="1" applyBorder="1" applyAlignment="1">
      <alignment horizontal="left" vertical="center" wrapText="1"/>
    </xf>
    <xf numFmtId="0" fontId="0" fillId="6" borderId="1" xfId="0" applyFill="1" applyBorder="1" applyAlignment="1">
      <alignment vertical="center"/>
    </xf>
    <xf numFmtId="167" fontId="28" fillId="0" borderId="1" xfId="0" applyNumberFormat="1" applyFont="1" applyBorder="1" applyAlignment="1">
      <alignment horizontal="center" vertical="center"/>
    </xf>
    <xf numFmtId="166" fontId="28" fillId="0" borderId="1" xfId="0" applyNumberFormat="1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center" vertical="center" wrapText="1"/>
    </xf>
    <xf numFmtId="166" fontId="17" fillId="2" borderId="10" xfId="0" applyNumberFormat="1" applyFont="1" applyFill="1" applyBorder="1" applyAlignment="1">
      <alignment horizontal="center" vertical="center" wrapText="1"/>
    </xf>
    <xf numFmtId="171" fontId="0" fillId="7" borderId="1" xfId="0" applyNumberFormat="1" applyFill="1" applyBorder="1" applyAlignment="1">
      <alignment horizontal="center" vertical="center" indent="1"/>
    </xf>
    <xf numFmtId="0" fontId="0" fillId="0" borderId="0" xfId="0" applyAlignment="1">
      <alignment horizontal="center"/>
    </xf>
    <xf numFmtId="168" fontId="6" fillId="0" borderId="1" xfId="0" applyNumberFormat="1" applyFont="1" applyBorder="1" applyAlignment="1">
      <alignment horizontal="center" vertical="center" wrapText="1"/>
    </xf>
    <xf numFmtId="166" fontId="26" fillId="3" borderId="1" xfId="0" applyNumberFormat="1" applyFont="1" applyFill="1" applyBorder="1" applyAlignment="1">
      <alignment horizontal="center" vertical="center"/>
    </xf>
    <xf numFmtId="166" fontId="0" fillId="7" borderId="1" xfId="0" applyNumberForma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168" fontId="37" fillId="3" borderId="1" xfId="0" applyNumberFormat="1" applyFont="1" applyFill="1" applyBorder="1" applyAlignment="1">
      <alignment horizontal="left" vertical="center" wrapText="1"/>
    </xf>
    <xf numFmtId="166" fontId="18" fillId="3" borderId="1" xfId="0" applyNumberFormat="1" applyFont="1" applyFill="1" applyBorder="1" applyAlignment="1">
      <alignment horizontal="center"/>
    </xf>
    <xf numFmtId="167" fontId="18" fillId="3" borderId="2" xfId="0" applyNumberFormat="1" applyFont="1" applyFill="1" applyBorder="1" applyAlignment="1">
      <alignment horizontal="center" vertical="center"/>
    </xf>
    <xf numFmtId="167" fontId="27" fillId="3" borderId="3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169" fontId="44" fillId="3" borderId="1" xfId="0" applyNumberFormat="1" applyFont="1" applyFill="1" applyBorder="1" applyAlignment="1">
      <alignment horizontal="center" vertical="center"/>
    </xf>
    <xf numFmtId="168" fontId="3" fillId="3" borderId="3" xfId="0" applyNumberFormat="1" applyFont="1" applyFill="1" applyBorder="1" applyAlignment="1">
      <alignment horizontal="center" vertical="center"/>
    </xf>
    <xf numFmtId="168" fontId="6" fillId="3" borderId="1" xfId="0" applyNumberFormat="1" applyFont="1" applyFill="1" applyBorder="1" applyAlignment="1">
      <alignment horizontal="center" vertical="center" wrapText="1"/>
    </xf>
    <xf numFmtId="166" fontId="3" fillId="3" borderId="2" xfId="0" applyNumberFormat="1" applyFont="1" applyFill="1" applyBorder="1" applyAlignment="1">
      <alignment horizontal="center" vertical="center"/>
    </xf>
    <xf numFmtId="166" fontId="18" fillId="0" borderId="2" xfId="0" applyNumberFormat="1" applyFont="1" applyBorder="1" applyAlignment="1">
      <alignment horizontal="center"/>
    </xf>
    <xf numFmtId="167" fontId="18" fillId="0" borderId="1" xfId="0" applyNumberFormat="1" applyFont="1" applyBorder="1" applyAlignment="1">
      <alignment horizontal="center" vertical="center"/>
    </xf>
    <xf numFmtId="164" fontId="0" fillId="0" borderId="0" xfId="0" applyNumberFormat="1"/>
    <xf numFmtId="0" fontId="3" fillId="3" borderId="3" xfId="0" applyFont="1" applyFill="1" applyBorder="1" applyAlignment="1">
      <alignment horizontal="center" vertical="center"/>
    </xf>
    <xf numFmtId="168" fontId="3" fillId="3" borderId="1" xfId="0" applyNumberFormat="1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167" fontId="3" fillId="3" borderId="1" xfId="0" applyNumberFormat="1" applyFont="1" applyFill="1" applyBorder="1" applyAlignment="1">
      <alignment horizontal="center" vertical="center" wrapText="1"/>
    </xf>
    <xf numFmtId="169" fontId="44" fillId="3" borderId="3" xfId="0" applyNumberFormat="1" applyFont="1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/>
    </xf>
    <xf numFmtId="164" fontId="0" fillId="11" borderId="1" xfId="0" applyNumberForma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14" fontId="20" fillId="11" borderId="5" xfId="0" applyNumberFormat="1" applyFont="1" applyFill="1" applyBorder="1" applyAlignment="1">
      <alignment horizontal="center"/>
    </xf>
    <xf numFmtId="164" fontId="20" fillId="11" borderId="5" xfId="0" applyNumberFormat="1" applyFont="1" applyFill="1" applyBorder="1" applyAlignment="1">
      <alignment horizontal="center"/>
    </xf>
    <xf numFmtId="0" fontId="20" fillId="11" borderId="5" xfId="0" applyFont="1" applyFill="1" applyBorder="1" applyAlignment="1">
      <alignment horizontal="center"/>
    </xf>
    <xf numFmtId="0" fontId="20" fillId="11" borderId="1" xfId="0" applyFont="1" applyFill="1" applyBorder="1" applyAlignment="1">
      <alignment horizontal="center"/>
    </xf>
    <xf numFmtId="14" fontId="20" fillId="11" borderId="1" xfId="0" applyNumberFormat="1" applyFont="1" applyFill="1" applyBorder="1" applyAlignment="1">
      <alignment horizontal="center"/>
    </xf>
    <xf numFmtId="164" fontId="20" fillId="11" borderId="1" xfId="0" applyNumberFormat="1" applyFont="1" applyFill="1" applyBorder="1" applyAlignment="1">
      <alignment horizontal="center"/>
    </xf>
    <xf numFmtId="0" fontId="20" fillId="11" borderId="9" xfId="0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167" fontId="4" fillId="3" borderId="1" xfId="0" applyNumberFormat="1" applyFont="1" applyFill="1" applyBorder="1" applyAlignment="1">
      <alignment horizontal="center" vertical="center"/>
    </xf>
    <xf numFmtId="166" fontId="3" fillId="3" borderId="1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66" fontId="5" fillId="3" borderId="2" xfId="0" applyNumberFormat="1" applyFont="1" applyFill="1" applyBorder="1" applyAlignment="1">
      <alignment horizontal="center" vertical="center"/>
    </xf>
    <xf numFmtId="167" fontId="28" fillId="3" borderId="2" xfId="0" applyNumberFormat="1" applyFont="1" applyFill="1" applyBorder="1" applyAlignment="1">
      <alignment horizontal="center" vertical="center"/>
    </xf>
    <xf numFmtId="167" fontId="28" fillId="3" borderId="1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68" fontId="3" fillId="3" borderId="5" xfId="0" applyNumberFormat="1" applyFont="1" applyFill="1" applyBorder="1" applyAlignment="1">
      <alignment horizontal="center" vertical="center"/>
    </xf>
    <xf numFmtId="168" fontId="3" fillId="3" borderId="5" xfId="0" applyNumberFormat="1" applyFont="1" applyFill="1" applyBorder="1" applyAlignment="1">
      <alignment horizontal="left" vertical="center" wrapText="1"/>
    </xf>
    <xf numFmtId="166" fontId="3" fillId="3" borderId="5" xfId="0" applyNumberFormat="1" applyFont="1" applyFill="1" applyBorder="1" applyAlignment="1">
      <alignment horizontal="center" vertical="center"/>
    </xf>
    <xf numFmtId="166" fontId="3" fillId="3" borderId="13" xfId="0" applyNumberFormat="1" applyFont="1" applyFill="1" applyBorder="1" applyAlignment="1">
      <alignment horizontal="center" vertical="center"/>
    </xf>
    <xf numFmtId="166" fontId="5" fillId="3" borderId="13" xfId="0" applyNumberFormat="1" applyFont="1" applyFill="1" applyBorder="1" applyAlignment="1">
      <alignment horizontal="center" vertical="center"/>
    </xf>
    <xf numFmtId="167" fontId="28" fillId="3" borderId="13" xfId="0" applyNumberFormat="1" applyFont="1" applyFill="1" applyBorder="1" applyAlignment="1">
      <alignment horizontal="center" vertical="center"/>
    </xf>
    <xf numFmtId="166" fontId="5" fillId="3" borderId="1" xfId="0" applyNumberFormat="1" applyFont="1" applyFill="1" applyBorder="1" applyAlignment="1">
      <alignment horizontal="center" vertical="center"/>
    </xf>
    <xf numFmtId="166" fontId="4" fillId="3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66" fontId="18" fillId="0" borderId="1" xfId="0" applyNumberFormat="1" applyFont="1" applyBorder="1" applyAlignment="1">
      <alignment horizontal="center"/>
    </xf>
    <xf numFmtId="0" fontId="0" fillId="11" borderId="14" xfId="0" applyFill="1" applyBorder="1" applyAlignment="1">
      <alignment horizontal="center"/>
    </xf>
    <xf numFmtId="166" fontId="5" fillId="0" borderId="2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/>
    </xf>
    <xf numFmtId="167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0" fontId="5" fillId="0" borderId="0" xfId="0" applyFont="1"/>
    <xf numFmtId="166" fontId="50" fillId="2" borderId="1" xfId="0" applyNumberFormat="1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14" fontId="0" fillId="14" borderId="1" xfId="0" applyNumberFormat="1" applyFill="1" applyBorder="1" applyAlignment="1">
      <alignment horizontal="center"/>
    </xf>
    <xf numFmtId="44" fontId="0" fillId="14" borderId="1" xfId="0" applyNumberFormat="1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14" borderId="0" xfId="0" applyFill="1"/>
    <xf numFmtId="168" fontId="3" fillId="3" borderId="1" xfId="0" applyNumberFormat="1" applyFont="1" applyFill="1" applyBorder="1" applyAlignment="1">
      <alignment horizontal="center" vertical="center" wrapText="1"/>
    </xf>
    <xf numFmtId="165" fontId="3" fillId="3" borderId="1" xfId="0" applyNumberFormat="1" applyFont="1" applyFill="1" applyBorder="1" applyAlignment="1">
      <alignment horizontal="center" vertical="center"/>
    </xf>
    <xf numFmtId="165" fontId="5" fillId="3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169" fontId="44" fillId="3" borderId="1" xfId="0" applyNumberFormat="1" applyFont="1" applyFill="1" applyBorder="1" applyAlignment="1">
      <alignment horizontal="center" vertical="center" wrapText="1"/>
    </xf>
    <xf numFmtId="166" fontId="4" fillId="0" borderId="3" xfId="0" applyNumberFormat="1" applyFont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166" fontId="4" fillId="3" borderId="2" xfId="0" applyNumberFormat="1" applyFont="1" applyFill="1" applyBorder="1" applyAlignment="1">
      <alignment horizontal="center" vertical="center"/>
    </xf>
    <xf numFmtId="168" fontId="37" fillId="0" borderId="1" xfId="0" applyNumberFormat="1" applyFont="1" applyBorder="1" applyAlignment="1">
      <alignment horizontal="left" vertical="center" wrapText="1"/>
    </xf>
    <xf numFmtId="167" fontId="18" fillId="0" borderId="2" xfId="0" applyNumberFormat="1" applyFont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14" fontId="0" fillId="11" borderId="1" xfId="0" applyNumberFormat="1" applyFill="1" applyBorder="1" applyAlignment="1">
      <alignment horizontal="center" vertical="center"/>
    </xf>
    <xf numFmtId="164" fontId="0" fillId="11" borderId="1" xfId="0" applyNumberForma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166" fontId="4" fillId="0" borderId="6" xfId="0" applyNumberFormat="1" applyFont="1" applyBorder="1" applyAlignment="1">
      <alignment horizontal="center" vertical="center"/>
    </xf>
    <xf numFmtId="167" fontId="18" fillId="0" borderId="5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vertical="center"/>
    </xf>
    <xf numFmtId="166" fontId="0" fillId="0" borderId="1" xfId="0" applyNumberFormat="1" applyBorder="1" applyAlignment="1">
      <alignment vertical="center"/>
    </xf>
    <xf numFmtId="168" fontId="6" fillId="0" borderId="1" xfId="0" applyNumberFormat="1" applyFont="1" applyBorder="1" applyAlignment="1">
      <alignment vertical="center" wrapText="1"/>
    </xf>
    <xf numFmtId="168" fontId="3" fillId="0" borderId="1" xfId="0" applyNumberFormat="1" applyFont="1" applyBorder="1" applyAlignment="1">
      <alignment vertical="center" wrapText="1"/>
    </xf>
    <xf numFmtId="0" fontId="28" fillId="4" borderId="1" xfId="0" applyFont="1" applyFill="1" applyBorder="1" applyAlignment="1">
      <alignment horizontal="center" vertical="center" wrapText="1"/>
    </xf>
    <xf numFmtId="14" fontId="0" fillId="15" borderId="1" xfId="0" applyNumberFormat="1" applyFill="1" applyBorder="1" applyAlignment="1">
      <alignment horizontal="center" vertical="center"/>
    </xf>
    <xf numFmtId="170" fontId="0" fillId="15" borderId="1" xfId="0" applyNumberForma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5" borderId="0" xfId="0" applyFill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166" fontId="5" fillId="16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167" fontId="4" fillId="2" borderId="5" xfId="0" applyNumberFormat="1" applyFont="1" applyFill="1" applyBorder="1" applyAlignment="1">
      <alignment horizontal="center" vertical="center" wrapText="1"/>
    </xf>
    <xf numFmtId="166" fontId="24" fillId="2" borderId="5" xfId="0" applyNumberFormat="1" applyFont="1" applyFill="1" applyBorder="1" applyAlignment="1">
      <alignment horizontal="center" vertical="center" wrapText="1"/>
    </xf>
    <xf numFmtId="166" fontId="4" fillId="2" borderId="5" xfId="0" applyNumberFormat="1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8" fontId="3" fillId="3" borderId="12" xfId="0" applyNumberFormat="1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168" fontId="6" fillId="3" borderId="6" xfId="0" applyNumberFormat="1" applyFont="1" applyFill="1" applyBorder="1" applyAlignment="1">
      <alignment horizontal="left" vertical="center" wrapText="1"/>
    </xf>
    <xf numFmtId="167" fontId="3" fillId="3" borderId="6" xfId="0" applyNumberFormat="1" applyFont="1" applyFill="1" applyBorder="1" applyAlignment="1">
      <alignment horizontal="center" vertical="center"/>
    </xf>
    <xf numFmtId="169" fontId="44" fillId="3" borderId="6" xfId="0" applyNumberFormat="1" applyFont="1" applyFill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center" vertical="center"/>
    </xf>
    <xf numFmtId="166" fontId="18" fillId="3" borderId="2" xfId="0" applyNumberFormat="1" applyFont="1" applyFill="1" applyBorder="1" applyAlignment="1">
      <alignment horizontal="center"/>
    </xf>
    <xf numFmtId="166" fontId="43" fillId="0" borderId="15" xfId="0" applyNumberFormat="1" applyFont="1" applyBorder="1" applyAlignment="1">
      <alignment horizontal="center" vertical="center"/>
    </xf>
    <xf numFmtId="167" fontId="27" fillId="0" borderId="16" xfId="0" applyNumberFormat="1" applyFont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 wrapText="1"/>
    </xf>
    <xf numFmtId="14" fontId="17" fillId="2" borderId="5" xfId="0" applyNumberFormat="1" applyFont="1" applyFill="1" applyBorder="1" applyAlignment="1">
      <alignment horizontal="center" vertical="center" wrapText="1"/>
    </xf>
    <xf numFmtId="0" fontId="17" fillId="2" borderId="13" xfId="0" applyFont="1" applyFill="1" applyBorder="1" applyAlignment="1">
      <alignment horizontal="center" vertical="center" wrapText="1"/>
    </xf>
    <xf numFmtId="166" fontId="17" fillId="2" borderId="5" xfId="0" applyNumberFormat="1" applyFont="1" applyFill="1" applyBorder="1" applyAlignment="1">
      <alignment horizontal="center" vertical="center" wrapText="1"/>
    </xf>
    <xf numFmtId="166" fontId="17" fillId="2" borderId="9" xfId="0" applyNumberFormat="1" applyFont="1" applyFill="1" applyBorder="1" applyAlignment="1">
      <alignment horizontal="center" vertical="center" wrapText="1"/>
    </xf>
    <xf numFmtId="166" fontId="51" fillId="2" borderId="17" xfId="0" applyNumberFormat="1" applyFont="1" applyFill="1" applyBorder="1" applyAlignment="1">
      <alignment horizontal="center" vertical="center" wrapText="1"/>
    </xf>
    <xf numFmtId="166" fontId="17" fillId="2" borderId="17" xfId="0" applyNumberFormat="1" applyFont="1" applyFill="1" applyBorder="1" applyAlignment="1">
      <alignment horizontal="center" vertical="center" wrapText="1"/>
    </xf>
    <xf numFmtId="167" fontId="4" fillId="3" borderId="2" xfId="0" applyNumberFormat="1" applyFont="1" applyFill="1" applyBorder="1" applyAlignment="1">
      <alignment horizontal="center" vertical="center"/>
    </xf>
    <xf numFmtId="167" fontId="4" fillId="0" borderId="2" xfId="0" applyNumberFormat="1" applyFont="1" applyBorder="1" applyAlignment="1">
      <alignment horizontal="center" vertical="center"/>
    </xf>
    <xf numFmtId="167" fontId="4" fillId="4" borderId="2" xfId="0" applyNumberFormat="1" applyFont="1" applyFill="1" applyBorder="1" applyAlignment="1">
      <alignment horizontal="center" vertical="center"/>
    </xf>
    <xf numFmtId="14" fontId="0" fillId="6" borderId="2" xfId="0" applyNumberFormat="1" applyFill="1" applyBorder="1" applyAlignment="1">
      <alignment vertical="center"/>
    </xf>
    <xf numFmtId="170" fontId="0" fillId="7" borderId="5" xfId="0" applyNumberFormat="1" applyFill="1" applyBorder="1" applyAlignment="1">
      <alignment vertical="center"/>
    </xf>
    <xf numFmtId="170" fontId="0" fillId="7" borderId="3" xfId="0" applyNumberFormat="1" applyFill="1" applyBorder="1" applyAlignment="1">
      <alignment vertical="center"/>
    </xf>
    <xf numFmtId="0" fontId="3" fillId="3" borderId="1" xfId="1" applyFont="1" applyFill="1" applyBorder="1" applyAlignment="1">
      <alignment horizontal="center" vertical="center"/>
    </xf>
    <xf numFmtId="168" fontId="3" fillId="3" borderId="1" xfId="1" applyNumberFormat="1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3" borderId="2" xfId="3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168" fontId="3" fillId="3" borderId="3" xfId="0" applyNumberFormat="1" applyFont="1" applyFill="1" applyBorder="1" applyAlignment="1">
      <alignment horizontal="left" vertical="center" wrapText="1"/>
    </xf>
    <xf numFmtId="166" fontId="3" fillId="3" borderId="3" xfId="0" applyNumberFormat="1" applyFont="1" applyFill="1" applyBorder="1" applyAlignment="1">
      <alignment horizontal="center" vertical="center"/>
    </xf>
    <xf numFmtId="166" fontId="5" fillId="3" borderId="3" xfId="0" applyNumberFormat="1" applyFont="1" applyFill="1" applyBorder="1" applyAlignment="1">
      <alignment horizontal="center" vertical="center"/>
    </xf>
    <xf numFmtId="167" fontId="28" fillId="3" borderId="3" xfId="0" applyNumberFormat="1" applyFont="1" applyFill="1" applyBorder="1" applyAlignment="1">
      <alignment horizontal="center" vertical="center"/>
    </xf>
    <xf numFmtId="168" fontId="37" fillId="0" borderId="1" xfId="0" applyNumberFormat="1" applyFont="1" applyBorder="1" applyAlignment="1">
      <alignment horizontal="center" vertical="center" wrapText="1"/>
    </xf>
    <xf numFmtId="166" fontId="18" fillId="0" borderId="1" xfId="0" applyNumberFormat="1" applyFont="1" applyBorder="1" applyAlignment="1">
      <alignment horizontal="center" vertical="center"/>
    </xf>
    <xf numFmtId="166" fontId="40" fillId="2" borderId="1" xfId="0" applyNumberFormat="1" applyFont="1" applyFill="1" applyBorder="1" applyAlignment="1">
      <alignment horizontal="center" vertical="center" wrapText="1"/>
    </xf>
    <xf numFmtId="168" fontId="3" fillId="3" borderId="1" xfId="0" quotePrefix="1" applyNumberFormat="1" applyFont="1" applyFill="1" applyBorder="1" applyAlignment="1">
      <alignment horizontal="center" vertical="center"/>
    </xf>
    <xf numFmtId="168" fontId="3" fillId="3" borderId="3" xfId="0" quotePrefix="1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171" fontId="27" fillId="0" borderId="3" xfId="0" applyNumberFormat="1" applyFont="1" applyBorder="1" applyAlignment="1">
      <alignment horizontal="left"/>
    </xf>
    <xf numFmtId="167" fontId="0" fillId="3" borderId="3" xfId="0" applyNumberFormat="1" applyFill="1" applyBorder="1" applyAlignment="1">
      <alignment horizontal="center" vertical="center"/>
    </xf>
    <xf numFmtId="167" fontId="0" fillId="0" borderId="3" xfId="0" applyNumberForma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68" fontId="3" fillId="0" borderId="3" xfId="0" applyNumberFormat="1" applyFont="1" applyBorder="1" applyAlignment="1">
      <alignment horizontal="left" vertical="center" wrapText="1"/>
    </xf>
    <xf numFmtId="166" fontId="3" fillId="0" borderId="3" xfId="0" applyNumberFormat="1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167" fontId="28" fillId="0" borderId="3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170" fontId="11" fillId="9" borderId="1" xfId="0" applyNumberFormat="1" applyFont="1" applyFill="1" applyBorder="1" applyAlignment="1">
      <alignment horizontal="center" vertical="center"/>
    </xf>
    <xf numFmtId="14" fontId="0" fillId="6" borderId="3" xfId="0" applyNumberFormat="1" applyFill="1" applyBorder="1" applyAlignment="1">
      <alignment vertical="center"/>
    </xf>
    <xf numFmtId="166" fontId="0" fillId="7" borderId="3" xfId="0" applyNumberFormat="1" applyFill="1" applyBorder="1" applyAlignment="1">
      <alignment vertical="center"/>
    </xf>
    <xf numFmtId="4" fontId="0" fillId="0" borderId="0" xfId="0" applyNumberFormat="1"/>
    <xf numFmtId="168" fontId="6" fillId="4" borderId="1" xfId="0" applyNumberFormat="1" applyFont="1" applyFill="1" applyBorder="1" applyAlignment="1">
      <alignment horizontal="center" vertical="center" wrapText="1"/>
    </xf>
    <xf numFmtId="165" fontId="3" fillId="4" borderId="1" xfId="0" applyNumberFormat="1" applyFont="1" applyFill="1" applyBorder="1" applyAlignment="1">
      <alignment horizontal="center" vertical="center"/>
    </xf>
    <xf numFmtId="165" fontId="5" fillId="4" borderId="2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0" fontId="52" fillId="2" borderId="1" xfId="0" applyFont="1" applyFill="1" applyBorder="1" applyAlignment="1">
      <alignment horizontal="center" vertical="center" wrapText="1"/>
    </xf>
    <xf numFmtId="14" fontId="53" fillId="4" borderId="1" xfId="0" applyNumberFormat="1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/>
    </xf>
    <xf numFmtId="168" fontId="3" fillId="0" borderId="18" xfId="0" applyNumberFormat="1" applyFont="1" applyBorder="1" applyAlignment="1">
      <alignment horizontal="center" vertical="center"/>
    </xf>
    <xf numFmtId="168" fontId="3" fillId="0" borderId="18" xfId="0" applyNumberFormat="1" applyFont="1" applyBorder="1" applyAlignment="1">
      <alignment horizontal="left" vertical="center" wrapText="1"/>
    </xf>
    <xf numFmtId="166" fontId="3" fillId="0" borderId="18" xfId="0" applyNumberFormat="1" applyFont="1" applyBorder="1" applyAlignment="1">
      <alignment horizontal="center" vertical="center"/>
    </xf>
    <xf numFmtId="166" fontId="5" fillId="0" borderId="18" xfId="0" applyNumberFormat="1" applyFont="1" applyBorder="1" applyAlignment="1">
      <alignment horizontal="center" vertical="center"/>
    </xf>
    <xf numFmtId="167" fontId="28" fillId="0" borderId="18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5" fillId="0" borderId="2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0" fillId="0" borderId="1" xfId="0" applyNumberFormat="1" applyBorder="1"/>
    <xf numFmtId="0" fontId="11" fillId="0" borderId="1" xfId="0" applyFont="1" applyBorder="1" applyAlignment="1">
      <alignment horizontal="center"/>
    </xf>
    <xf numFmtId="0" fontId="0" fillId="0" borderId="19" xfId="0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71" fontId="27" fillId="0" borderId="0" xfId="0" applyNumberFormat="1" applyFont="1" applyAlignment="1">
      <alignment horizontal="left"/>
    </xf>
    <xf numFmtId="0" fontId="15" fillId="3" borderId="12" xfId="0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/>
    </xf>
    <xf numFmtId="164" fontId="5" fillId="3" borderId="2" xfId="0" applyNumberFormat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5" fillId="0" borderId="12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/>
    </xf>
    <xf numFmtId="168" fontId="3" fillId="17" borderId="1" xfId="0" applyNumberFormat="1" applyFont="1" applyFill="1" applyBorder="1" applyAlignment="1">
      <alignment horizontal="center" vertical="center"/>
    </xf>
    <xf numFmtId="168" fontId="3" fillId="17" borderId="1" xfId="0" applyNumberFormat="1" applyFont="1" applyFill="1" applyBorder="1" applyAlignment="1">
      <alignment horizontal="left" vertical="center" wrapText="1"/>
    </xf>
    <xf numFmtId="166" fontId="3" fillId="17" borderId="1" xfId="0" applyNumberFormat="1" applyFont="1" applyFill="1" applyBorder="1" applyAlignment="1">
      <alignment horizontal="center" vertical="center"/>
    </xf>
    <xf numFmtId="166" fontId="5" fillId="17" borderId="1" xfId="0" applyNumberFormat="1" applyFont="1" applyFill="1" applyBorder="1" applyAlignment="1">
      <alignment horizontal="center" vertical="center"/>
    </xf>
    <xf numFmtId="167" fontId="28" fillId="17" borderId="1" xfId="0" applyNumberFormat="1" applyFont="1" applyFill="1" applyBorder="1" applyAlignment="1">
      <alignment horizontal="center" vertical="center"/>
    </xf>
    <xf numFmtId="166" fontId="18" fillId="13" borderId="1" xfId="0" applyNumberFormat="1" applyFont="1" applyFill="1" applyBorder="1" applyAlignment="1">
      <alignment horizontal="center"/>
    </xf>
    <xf numFmtId="166" fontId="18" fillId="13" borderId="2" xfId="0" applyNumberFormat="1" applyFont="1" applyFill="1" applyBorder="1" applyAlignment="1">
      <alignment horizontal="center"/>
    </xf>
    <xf numFmtId="167" fontId="18" fillId="13" borderId="2" xfId="0" applyNumberFormat="1" applyFont="1" applyFill="1" applyBorder="1" applyAlignment="1">
      <alignment horizontal="center" vertical="center"/>
    </xf>
    <xf numFmtId="167" fontId="27" fillId="13" borderId="3" xfId="0" applyNumberFormat="1" applyFont="1" applyFill="1" applyBorder="1" applyAlignment="1">
      <alignment horizontal="center" vertical="center"/>
    </xf>
    <xf numFmtId="167" fontId="0" fillId="13" borderId="3" xfId="0" applyNumberFormat="1" applyFill="1" applyBorder="1" applyAlignment="1">
      <alignment horizontal="center" vertical="center"/>
    </xf>
    <xf numFmtId="0" fontId="54" fillId="0" borderId="1" xfId="0" applyFont="1" applyBorder="1" applyAlignment="1">
      <alignment wrapText="1"/>
    </xf>
    <xf numFmtId="166" fontId="18" fillId="18" borderId="2" xfId="0" applyNumberFormat="1" applyFont="1" applyFill="1" applyBorder="1" applyAlignment="1">
      <alignment horizontal="center"/>
    </xf>
    <xf numFmtId="167" fontId="27" fillId="18" borderId="3" xfId="0" applyNumberFormat="1" applyFont="1" applyFill="1" applyBorder="1" applyAlignment="1">
      <alignment horizontal="center" vertical="center"/>
    </xf>
    <xf numFmtId="167" fontId="0" fillId="18" borderId="3" xfId="0" applyNumberForma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168" fontId="3" fillId="13" borderId="1" xfId="0" applyNumberFormat="1" applyFont="1" applyFill="1" applyBorder="1" applyAlignment="1">
      <alignment horizontal="center" vertical="center"/>
    </xf>
    <xf numFmtId="167" fontId="3" fillId="13" borderId="1" xfId="0" applyNumberFormat="1" applyFont="1" applyFill="1" applyBorder="1" applyAlignment="1">
      <alignment horizontal="center" vertical="center"/>
    </xf>
    <xf numFmtId="167" fontId="4" fillId="13" borderId="2" xfId="0" applyNumberFormat="1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168" fontId="37" fillId="13" borderId="1" xfId="0" applyNumberFormat="1" applyFont="1" applyFill="1" applyBorder="1" applyAlignment="1">
      <alignment horizontal="left" vertical="center" wrapText="1"/>
    </xf>
    <xf numFmtId="166" fontId="3" fillId="13" borderId="1" xfId="0" applyNumberFormat="1" applyFont="1" applyFill="1" applyBorder="1" applyAlignment="1">
      <alignment horizontal="center" vertical="center"/>
    </xf>
    <xf numFmtId="168" fontId="3" fillId="13" borderId="3" xfId="0" applyNumberFormat="1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left" vertical="center"/>
    </xf>
    <xf numFmtId="0" fontId="28" fillId="13" borderId="1" xfId="0" applyFont="1" applyFill="1" applyBorder="1" applyAlignment="1">
      <alignment horizontal="center" vertical="center" wrapText="1"/>
    </xf>
    <xf numFmtId="168" fontId="6" fillId="13" borderId="1" xfId="0" applyNumberFormat="1" applyFont="1" applyFill="1" applyBorder="1" applyAlignment="1">
      <alignment vertical="center" wrapText="1"/>
    </xf>
    <xf numFmtId="166" fontId="3" fillId="13" borderId="2" xfId="0" applyNumberFormat="1" applyFont="1" applyFill="1" applyBorder="1" applyAlignment="1">
      <alignment horizontal="center" vertical="center"/>
    </xf>
    <xf numFmtId="168" fontId="3" fillId="13" borderId="1" xfId="0" applyNumberFormat="1" applyFont="1" applyFill="1" applyBorder="1" applyAlignment="1">
      <alignment horizontal="center" vertical="center" wrapText="1"/>
    </xf>
    <xf numFmtId="0" fontId="4" fillId="13" borderId="18" xfId="0" applyFont="1" applyFill="1" applyBorder="1" applyAlignment="1">
      <alignment horizontal="center" vertical="center"/>
    </xf>
    <xf numFmtId="0" fontId="3" fillId="13" borderId="18" xfId="0" applyFont="1" applyFill="1" applyBorder="1" applyAlignment="1">
      <alignment horizontal="center" vertical="center" wrapText="1"/>
    </xf>
    <xf numFmtId="0" fontId="5" fillId="13" borderId="18" xfId="0" applyFont="1" applyFill="1" applyBorder="1" applyAlignment="1">
      <alignment horizontal="center" vertical="center" wrapText="1"/>
    </xf>
    <xf numFmtId="0" fontId="3" fillId="13" borderId="18" xfId="0" applyFont="1" applyFill="1" applyBorder="1" applyAlignment="1">
      <alignment horizontal="center" vertical="center"/>
    </xf>
    <xf numFmtId="168" fontId="3" fillId="13" borderId="18" xfId="0" applyNumberFormat="1" applyFont="1" applyFill="1" applyBorder="1" applyAlignment="1">
      <alignment horizontal="center" vertical="center"/>
    </xf>
    <xf numFmtId="168" fontId="3" fillId="13" borderId="18" xfId="0" applyNumberFormat="1" applyFont="1" applyFill="1" applyBorder="1" applyAlignment="1">
      <alignment horizontal="left" vertical="center" wrapText="1"/>
    </xf>
    <xf numFmtId="166" fontId="3" fillId="13" borderId="18" xfId="0" applyNumberFormat="1" applyFont="1" applyFill="1" applyBorder="1" applyAlignment="1">
      <alignment horizontal="center" vertical="center"/>
    </xf>
    <xf numFmtId="166" fontId="5" fillId="13" borderId="18" xfId="0" applyNumberFormat="1" applyFont="1" applyFill="1" applyBorder="1" applyAlignment="1">
      <alignment horizontal="center" vertical="center"/>
    </xf>
    <xf numFmtId="167" fontId="28" fillId="13" borderId="18" xfId="0" applyNumberFormat="1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168" fontId="3" fillId="13" borderId="1" xfId="0" applyNumberFormat="1" applyFont="1" applyFill="1" applyBorder="1" applyAlignment="1">
      <alignment horizontal="left" vertical="center" wrapText="1"/>
    </xf>
    <xf numFmtId="166" fontId="5" fillId="13" borderId="1" xfId="0" applyNumberFormat="1" applyFont="1" applyFill="1" applyBorder="1" applyAlignment="1">
      <alignment horizontal="center" vertical="center"/>
    </xf>
    <xf numFmtId="167" fontId="28" fillId="13" borderId="1" xfId="0" applyNumberFormat="1" applyFont="1" applyFill="1" applyBorder="1" applyAlignment="1">
      <alignment horizontal="center" vertical="center"/>
    </xf>
    <xf numFmtId="0" fontId="54" fillId="0" borderId="1" xfId="0" applyFont="1" applyBorder="1"/>
    <xf numFmtId="0" fontId="55" fillId="13" borderId="1" xfId="0" applyFont="1" applyFill="1" applyBorder="1" applyAlignment="1">
      <alignment horizontal="center" vertical="center" wrapText="1"/>
    </xf>
    <xf numFmtId="0" fontId="56" fillId="13" borderId="1" xfId="0" applyFont="1" applyFill="1" applyBorder="1" applyAlignment="1">
      <alignment horizontal="center" vertical="center"/>
    </xf>
    <xf numFmtId="0" fontId="55" fillId="13" borderId="1" xfId="0" applyFont="1" applyFill="1" applyBorder="1" applyAlignment="1">
      <alignment horizontal="center" vertical="center"/>
    </xf>
    <xf numFmtId="168" fontId="55" fillId="13" borderId="1" xfId="0" applyNumberFormat="1" applyFont="1" applyFill="1" applyBorder="1" applyAlignment="1">
      <alignment horizontal="center" vertical="center"/>
    </xf>
    <xf numFmtId="167" fontId="55" fillId="13" borderId="1" xfId="0" applyNumberFormat="1" applyFont="1" applyFill="1" applyBorder="1" applyAlignment="1">
      <alignment horizontal="center" vertical="center"/>
    </xf>
    <xf numFmtId="167" fontId="57" fillId="13" borderId="2" xfId="0" applyNumberFormat="1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/>
    </xf>
    <xf numFmtId="0" fontId="11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14" fontId="0" fillId="6" borderId="5" xfId="0" applyNumberFormat="1" applyFill="1" applyBorder="1" applyAlignment="1">
      <alignment horizontal="center" vertical="center"/>
    </xf>
    <xf numFmtId="14" fontId="0" fillId="6" borderId="6" xfId="0" applyNumberFormat="1" applyFill="1" applyBorder="1" applyAlignment="1">
      <alignment horizontal="center" vertical="center"/>
    </xf>
    <xf numFmtId="166" fontId="0" fillId="7" borderId="5" xfId="0" applyNumberFormat="1" applyFill="1" applyBorder="1" applyAlignment="1">
      <alignment horizontal="center" vertical="center"/>
    </xf>
    <xf numFmtId="166" fontId="0" fillId="7" borderId="6" xfId="0" applyNumberForma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68" fontId="3" fillId="0" borderId="1" xfId="0" applyNumberFormat="1" applyFont="1" applyFill="1" applyBorder="1" applyAlignment="1">
      <alignment horizontal="center" vertical="center"/>
    </xf>
    <xf numFmtId="167" fontId="3" fillId="0" borderId="1" xfId="0" applyNumberFormat="1" applyFont="1" applyFill="1" applyBorder="1" applyAlignment="1">
      <alignment horizontal="center" vertical="center"/>
    </xf>
    <xf numFmtId="167" fontId="4" fillId="0" borderId="2" xfId="0" applyNumberFormat="1" applyFont="1" applyFill="1" applyBorder="1" applyAlignment="1">
      <alignment horizontal="center" vertical="center"/>
    </xf>
    <xf numFmtId="167" fontId="0" fillId="0" borderId="3" xfId="0" applyNumberFormat="1" applyFill="1" applyBorder="1" applyAlignment="1">
      <alignment horizontal="center" vertical="center"/>
    </xf>
    <xf numFmtId="0" fontId="54" fillId="0" borderId="1" xfId="0" applyFont="1" applyFill="1" applyBorder="1"/>
    <xf numFmtId="0" fontId="0" fillId="0" borderId="0" xfId="0" applyFill="1"/>
  </cellXfs>
  <cellStyles count="27">
    <cellStyle name="Moneda" xfId="17" builtinId="4"/>
    <cellStyle name="Normal" xfId="0" builtinId="0"/>
    <cellStyle name="Normal 10" xfId="6" xr:uid="{F504FAD0-37B9-47AF-8D89-E8683EF6A941}"/>
    <cellStyle name="Normal 11" xfId="26" xr:uid="{D8B8C72F-AB09-4F4E-A937-9DEFEB93BE7F}"/>
    <cellStyle name="Normal 13" xfId="9" xr:uid="{661777DF-DDFE-446D-B677-517E26BFB493}"/>
    <cellStyle name="Normal 14" xfId="7" xr:uid="{BDDD0986-43DC-427B-847F-01DAB0CC8D0D}"/>
    <cellStyle name="Normal 15" xfId="11" xr:uid="{D37F6D10-9DF3-416A-8A3A-D0A49D72A763}"/>
    <cellStyle name="Normal 16" xfId="12" xr:uid="{F8E2E081-6B59-4E88-92E6-A7D33594D1E1}"/>
    <cellStyle name="Normal 17" xfId="13" xr:uid="{89A4C6B2-D1F6-466E-9365-67423565645C}"/>
    <cellStyle name="Normal 18" xfId="14" xr:uid="{670C08A6-0649-4904-A6B1-2901EE992EF8}"/>
    <cellStyle name="Normal 19" xfId="16" xr:uid="{EA1F02FA-9EC6-4E6A-8843-F2DDF1AA8717}"/>
    <cellStyle name="Normal 2" xfId="1" xr:uid="{9D03B8FA-CB83-44A8-A06E-D2FD4D226A16}"/>
    <cellStyle name="Normal 20" xfId="15" xr:uid="{B3438B5F-6306-45F6-B2D9-B8CBF4782F47}"/>
    <cellStyle name="Normal 3" xfId="3" xr:uid="{C9CE1E7D-CA08-4EAC-B077-092D79584407}"/>
    <cellStyle name="Normal 4" xfId="19" xr:uid="{50362223-2112-45F2-B9AC-259A6E45ADCA}"/>
    <cellStyle name="Normal 5" xfId="4" xr:uid="{A3B5702A-9891-49CA-BD6A-CE8CF85DF648}"/>
    <cellStyle name="Normal 6" xfId="18" xr:uid="{AA094A85-9825-4FD7-B7EC-4AF8332E5F97}"/>
    <cellStyle name="Normal 7" xfId="8" xr:uid="{AB837271-0524-463F-8959-214BD21DB48C}"/>
    <cellStyle name="Normal 8" xfId="5" xr:uid="{F588057A-A302-48F7-BFF0-FED891A163AD}"/>
    <cellStyle name="Normal 9" xfId="10" xr:uid="{FF3CE6C4-25A9-4F2A-9397-FF3F14D9696D}"/>
    <cellStyle name="표준 2" xfId="23" xr:uid="{33098ABD-EE27-4079-B5A6-2BF0FFDABE13}"/>
    <cellStyle name="표준 3 2" xfId="24" xr:uid="{D0E99DAE-2BDE-462D-BE21-0380154FA33F}"/>
    <cellStyle name="표준 3 3" xfId="25" xr:uid="{F8E30EDB-C11F-49F3-B56F-EA9FA403413C}"/>
    <cellStyle name="常规 2" xfId="2" xr:uid="{C374D3F3-2199-4116-A4E9-70991EF3CBCB}"/>
    <cellStyle name="常规 2 2" xfId="20" xr:uid="{68A78897-0DCE-4813-A67C-505118F39099}"/>
    <cellStyle name="常规 3" xfId="21" xr:uid="{CB6630C0-86E2-454F-859E-B0E4C3DF617D}"/>
    <cellStyle name="常规 4" xfId="22" xr:uid="{7682B07D-EE8E-474E-B092-3914352901E4}"/>
  </cellStyles>
  <dxfs count="316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3" defaultTableStyle="TableStyleMedium2" defaultPivotStyle="PivotStyleLight16">
    <tableStyle name="Invisible" pivot="0" table="0" count="0" xr9:uid="{6EFB0B6D-C084-4BAF-B9BA-2B9B7836788E}"/>
    <tableStyle name="TableStylePreset3_Accent1" pivot="0" count="7" xr9:uid="{2F53A501-A739-49FB-A251-4E63F70E1F00}">
      <tableStyleElement type="wholeTable" dxfId="3163"/>
      <tableStyleElement type="headerRow" dxfId="3162"/>
      <tableStyleElement type="totalRow" dxfId="3161"/>
      <tableStyleElement type="firstColumn" dxfId="3160"/>
      <tableStyleElement type="lastColumn" dxfId="3159"/>
      <tableStyleElement type="firstRowStripe" dxfId="3158"/>
      <tableStyleElement type="firstColumnStripe" dxfId="3157"/>
    </tableStyle>
    <tableStyle name="PivotStylePreset2_Accent1" table="0" count="10" xr9:uid="{C2CEFEED-FCA1-4F6A-B642-C80A951206C9}">
      <tableStyleElement type="headerRow" dxfId="3156"/>
      <tableStyleElement type="totalRow" dxfId="3155"/>
      <tableStyleElement type="firstRowStripe" dxfId="3154"/>
      <tableStyleElement type="firstColumnStripe" dxfId="3153"/>
      <tableStyleElement type="firstSubtotalRow" dxfId="3152"/>
      <tableStyleElement type="secondSubtotalRow" dxfId="3151"/>
      <tableStyleElement type="firstRowSubheading" dxfId="3150"/>
      <tableStyleElement type="secondRowSubheading" dxfId="3149"/>
      <tableStyleElement type="pageFieldLabels" dxfId="3148"/>
      <tableStyleElement type="pageFieldValues" dxfId="3147"/>
    </tableStyle>
  </tableStyles>
  <colors>
    <mruColors>
      <color rgb="FFFFFF66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8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microsoft.com/office/2017/10/relationships/person" Target="persons/perso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customXml" Target="../customXml/item2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ustomXml" Target="../customXml/item3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sta 1" id="{0B5211C8-48AB-4F35-A4C8-CACB03CE0DFC}"/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Usuario invitado" id="{4878191A-8CA2-492A-8AD1-3F30BCF1C569}" userId="S::urn:spo:tenantanon#4d4564b3-b502-459d-8cc8-4674858b7336::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108" dT="2026-10-16T18:30:46.94" personId="{4878191A-8CA2-492A-8AD1-3F30BCF1C569}" id="{D9C76C50-34FF-43D8-A757-FB123DDE2493}">
    <text>AMEND FEE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L46" dT="2026-10-16T18:00:06.06" personId="{4878191A-8CA2-492A-8AD1-3F30BCF1C569}" id="{1BE39AC5-8A8E-4007-AB78-990D1ADFB10F}">
    <text xml:space="preserve">EXW
</text>
  </threadedComment>
</ThreadedComments>
</file>

<file path=xl/worksheets/_rels/sheet3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2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1E319-9185-49D3-BDD0-5E32E1FDE496}">
  <sheetPr codeName="Hoja1"/>
  <dimension ref="B2:H45"/>
  <sheetViews>
    <sheetView topLeftCell="A11" workbookViewId="0">
      <selection activeCell="F40" sqref="F40"/>
    </sheetView>
  </sheetViews>
  <sheetFormatPr defaultColWidth="11.42578125" defaultRowHeight="14.45"/>
  <cols>
    <col min="1" max="1" width="8.7109375" customWidth="1"/>
    <col min="2" max="2" width="19.7109375" style="57" bestFit="1" customWidth="1"/>
    <col min="3" max="3" width="15.28515625" style="1" bestFit="1" customWidth="1"/>
    <col min="5" max="5" width="16.140625" bestFit="1" customWidth="1"/>
    <col min="6" max="6" width="15.28515625" customWidth="1"/>
  </cols>
  <sheetData>
    <row r="2" spans="2:8" ht="18">
      <c r="C2" s="70">
        <f>SUM(C5:C133)</f>
        <v>2930596.16</v>
      </c>
      <c r="H2" s="45"/>
    </row>
    <row r="3" spans="2:8">
      <c r="C3" s="63"/>
    </row>
    <row r="4" spans="2:8" ht="20.65" customHeight="1">
      <c r="B4" s="72" t="s">
        <v>0</v>
      </c>
      <c r="C4" s="73" t="s">
        <v>1</v>
      </c>
      <c r="E4" s="460" t="s">
        <v>2</v>
      </c>
      <c r="F4" s="461"/>
    </row>
    <row r="5" spans="2:8" ht="18" customHeight="1">
      <c r="B5" s="69" t="s">
        <v>3</v>
      </c>
      <c r="C5" s="80">
        <f>AB!M1</f>
        <v>1268479</v>
      </c>
      <c r="E5" s="85" t="s">
        <v>4</v>
      </c>
      <c r="F5" s="86"/>
    </row>
    <row r="6" spans="2:8" ht="18" customHeight="1">
      <c r="B6" s="69" t="s">
        <v>5</v>
      </c>
      <c r="C6" s="80">
        <f>'SALOMON JASQUI'!O260</f>
        <v>351586.37</v>
      </c>
    </row>
    <row r="7" spans="2:8" ht="18" customHeight="1">
      <c r="B7" s="69" t="s">
        <v>6</v>
      </c>
      <c r="C7" s="80">
        <f>YOSEF!P1</f>
        <v>381370</v>
      </c>
    </row>
    <row r="8" spans="2:8" ht="18" customHeight="1">
      <c r="B8" s="69" t="s">
        <v>7</v>
      </c>
      <c r="C8" s="80">
        <f>'ELIAS LEVY'!O1</f>
        <v>244415</v>
      </c>
    </row>
    <row r="9" spans="2:8" ht="18" customHeight="1">
      <c r="B9" s="69" t="s">
        <v>8</v>
      </c>
      <c r="C9" s="80">
        <f>LUCK!P1</f>
        <v>92057</v>
      </c>
    </row>
    <row r="10" spans="2:8" ht="18" customHeight="1">
      <c r="B10" s="69" t="s">
        <v>9</v>
      </c>
      <c r="C10" s="80">
        <f>MAN!O1</f>
        <v>50110.909999999974</v>
      </c>
    </row>
    <row r="11" spans="2:8" ht="18" customHeight="1">
      <c r="B11" s="69" t="s">
        <v>10</v>
      </c>
      <c r="C11" s="80">
        <f>JHK!O1</f>
        <v>68500</v>
      </c>
    </row>
    <row r="12" spans="2:8" ht="18" customHeight="1">
      <c r="B12" s="69" t="s">
        <v>11</v>
      </c>
      <c r="C12" s="80">
        <f>BH!L1</f>
        <v>73800</v>
      </c>
    </row>
    <row r="13" spans="2:8" ht="18" customHeight="1">
      <c r="B13" s="69" t="s">
        <v>12</v>
      </c>
      <c r="C13" s="80">
        <f>SKM!O1</f>
        <v>63860</v>
      </c>
    </row>
    <row r="14" spans="2:8" ht="18" customHeight="1">
      <c r="B14" s="69" t="s">
        <v>13</v>
      </c>
      <c r="C14" s="80">
        <f>MNS!N1</f>
        <v>66680</v>
      </c>
    </row>
    <row r="15" spans="2:8" ht="18" customHeight="1">
      <c r="B15" s="69" t="s">
        <v>14</v>
      </c>
      <c r="C15" s="80">
        <f>RED!P1</f>
        <v>40680</v>
      </c>
    </row>
    <row r="16" spans="2:8" ht="18" customHeight="1">
      <c r="B16" s="69" t="s">
        <v>15</v>
      </c>
      <c r="C16" s="80">
        <f>ELJA!N1</f>
        <v>62950</v>
      </c>
    </row>
    <row r="17" spans="2:3" ht="18" customHeight="1">
      <c r="B17" s="69" t="s">
        <v>16</v>
      </c>
      <c r="C17" s="80">
        <f>MERCURIO!N1</f>
        <v>37250</v>
      </c>
    </row>
    <row r="18" spans="2:3" ht="18" customHeight="1">
      <c r="B18" s="69" t="s">
        <v>17</v>
      </c>
      <c r="C18" s="80">
        <f>'AASZ '!P1</f>
        <v>36400</v>
      </c>
    </row>
    <row r="19" spans="2:3" ht="18" customHeight="1">
      <c r="B19" s="69" t="s">
        <v>18</v>
      </c>
      <c r="C19" s="80">
        <f>IHE!N1</f>
        <v>12650</v>
      </c>
    </row>
    <row r="20" spans="2:3" ht="18" customHeight="1">
      <c r="B20" s="69" t="s">
        <v>19</v>
      </c>
      <c r="C20" s="80">
        <f>HHB!N1</f>
        <v>19337</v>
      </c>
    </row>
    <row r="21" spans="2:3" ht="18" customHeight="1">
      <c r="B21" s="69" t="s">
        <v>20</v>
      </c>
      <c r="C21" s="80">
        <f>KOBI!O1</f>
        <v>14600</v>
      </c>
    </row>
    <row r="22" spans="2:3" ht="18" customHeight="1">
      <c r="B22" s="69" t="s">
        <v>21</v>
      </c>
      <c r="C22" s="80">
        <f>JERARKYNG!N1</f>
        <v>0</v>
      </c>
    </row>
    <row r="23" spans="2:3" ht="18" customHeight="1">
      <c r="B23" s="69" t="s">
        <v>22</v>
      </c>
      <c r="C23" s="80">
        <f>GLAM!P1</f>
        <v>8280</v>
      </c>
    </row>
    <row r="24" spans="2:3" ht="18" customHeight="1">
      <c r="B24" s="69" t="s">
        <v>23</v>
      </c>
      <c r="C24" s="80">
        <f>ANHERST!N1</f>
        <v>15700</v>
      </c>
    </row>
    <row r="25" spans="2:3" ht="18" customHeight="1">
      <c r="B25" s="69" t="s">
        <v>24</v>
      </c>
      <c r="C25" s="80">
        <f>JAZ!N1</f>
        <v>7500</v>
      </c>
    </row>
    <row r="26" spans="2:3" ht="18" customHeight="1">
      <c r="B26" s="69" t="s">
        <v>25</v>
      </c>
      <c r="C26" s="80">
        <f>DACH!O1</f>
        <v>6850</v>
      </c>
    </row>
    <row r="27" spans="2:3">
      <c r="B27" s="69" t="s">
        <v>26</v>
      </c>
      <c r="C27" s="80">
        <f>'MOSHE TUACHI'!N1</f>
        <v>5900</v>
      </c>
    </row>
    <row r="28" spans="2:3">
      <c r="B28" s="69" t="s">
        <v>27</v>
      </c>
      <c r="C28" s="80">
        <f>NUDU!K1</f>
        <v>0</v>
      </c>
    </row>
    <row r="29" spans="2:3">
      <c r="B29" s="69" t="s">
        <v>28</v>
      </c>
      <c r="C29" s="80">
        <f>BENA!O1</f>
        <v>3312.25</v>
      </c>
    </row>
    <row r="30" spans="2:3">
      <c r="B30" s="69" t="s">
        <v>29</v>
      </c>
      <c r="C30" s="80">
        <f>SUPRA!N1</f>
        <v>0</v>
      </c>
    </row>
    <row r="31" spans="2:3">
      <c r="B31" s="69" t="s">
        <v>30</v>
      </c>
      <c r="C31" s="80">
        <f>JM!L1</f>
        <v>0</v>
      </c>
    </row>
    <row r="32" spans="2:3">
      <c r="B32" s="69" t="s">
        <v>31</v>
      </c>
      <c r="C32" s="80">
        <f>'MARIO EMILIANO'!O1</f>
        <v>0</v>
      </c>
    </row>
    <row r="33" spans="2:3" ht="18" customHeight="1">
      <c r="B33" s="69" t="s">
        <v>32</v>
      </c>
      <c r="C33" s="80">
        <f>JIV!O1</f>
        <v>0</v>
      </c>
    </row>
    <row r="34" spans="2:3" ht="15" customHeight="1">
      <c r="B34" s="69" t="s">
        <v>33</v>
      </c>
      <c r="C34" s="80">
        <f>INA!N1</f>
        <v>0</v>
      </c>
    </row>
    <row r="35" spans="2:3" ht="15" customHeight="1">
      <c r="B35" s="69" t="s">
        <v>34</v>
      </c>
      <c r="C35" s="80">
        <f>'JOSHUA CREDI'!L1</f>
        <v>0</v>
      </c>
    </row>
    <row r="36" spans="2:3" ht="15" customHeight="1">
      <c r="B36" s="69" t="s">
        <v>35</v>
      </c>
      <c r="C36" s="80">
        <f>'JACK LEVY'!O1</f>
        <v>0</v>
      </c>
    </row>
    <row r="37" spans="2:3" ht="15" customHeight="1">
      <c r="B37" s="69" t="s">
        <v>36</v>
      </c>
      <c r="C37" s="80">
        <f>ALEJANDRO!M1</f>
        <v>0</v>
      </c>
    </row>
    <row r="38" spans="2:3" ht="15" customHeight="1">
      <c r="B38" s="69" t="s">
        <v>37</v>
      </c>
      <c r="C38" s="80">
        <f>CATTAN!P1</f>
        <v>0</v>
      </c>
    </row>
    <row r="39" spans="2:3" ht="15" customHeight="1">
      <c r="B39" s="69" t="s">
        <v>38</v>
      </c>
      <c r="C39" s="80">
        <f>YTM!O1</f>
        <v>0</v>
      </c>
    </row>
    <row r="40" spans="2:3">
      <c r="B40" s="69" t="s">
        <v>39</v>
      </c>
      <c r="C40" s="80">
        <f>ANM!O1</f>
        <v>0</v>
      </c>
    </row>
    <row r="41" spans="2:3">
      <c r="B41" s="69" t="s">
        <v>40</v>
      </c>
      <c r="C41" s="80">
        <f>M!O1</f>
        <v>0</v>
      </c>
    </row>
    <row r="42" spans="2:3">
      <c r="B42" s="69" t="s">
        <v>41</v>
      </c>
      <c r="C42" s="80">
        <f>LU!N1</f>
        <v>0</v>
      </c>
    </row>
    <row r="43" spans="2:3">
      <c r="B43" s="69" t="s">
        <v>42</v>
      </c>
      <c r="C43" s="80">
        <f>GE!M1</f>
        <v>0</v>
      </c>
    </row>
    <row r="44" spans="2:3" ht="16.149999999999999" customHeight="1">
      <c r="B44" s="69" t="s">
        <v>43</v>
      </c>
      <c r="C44" s="80">
        <f>PAT!O1</f>
        <v>-40</v>
      </c>
    </row>
    <row r="45" spans="2:3">
      <c r="B45" s="69" t="s">
        <v>44</v>
      </c>
      <c r="C45" s="80">
        <f>'RAMON BETECH'!L1</f>
        <v>-1631.369999999999</v>
      </c>
    </row>
  </sheetData>
  <autoFilter ref="B4:C4" xr:uid="{58F1E319-9185-49D3-BDD0-5E32E1FDE496}">
    <sortState xmlns:xlrd2="http://schemas.microsoft.com/office/spreadsheetml/2017/richdata2" ref="B5:C45">
      <sortCondition descending="1" ref="C4"/>
    </sortState>
  </autoFilter>
  <mergeCells count="1">
    <mergeCell ref="E4:F4"/>
  </mergeCells>
  <conditionalFormatting sqref="B1:B45 B55:B1048576">
    <cfRule type="duplicateValues" dxfId="3146" priority="4873"/>
  </conditionalFormatting>
  <conditionalFormatting sqref="E4:E5 B1:B45 B55:B1048576">
    <cfRule type="duplicateValues" dxfId="3145" priority="4879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B2324-849C-4A24-A972-D9B730731708}">
  <sheetPr codeName="Hoja2">
    <tabColor rgb="FFFFC000"/>
  </sheetPr>
  <dimension ref="A1:P60"/>
  <sheetViews>
    <sheetView zoomScale="85" zoomScaleNormal="85" workbookViewId="0">
      <selection activeCell="N12" sqref="N12"/>
    </sheetView>
  </sheetViews>
  <sheetFormatPr defaultColWidth="11.42578125" defaultRowHeight="14.45"/>
  <cols>
    <col min="1" max="1" width="12.140625" bestFit="1" customWidth="1"/>
    <col min="2" max="3" width="10.7109375" bestFit="1" customWidth="1"/>
    <col min="4" max="4" width="4.42578125" bestFit="1" customWidth="1"/>
    <col min="5" max="5" width="13.42578125" bestFit="1" customWidth="1"/>
    <col min="6" max="7" width="5.7109375" bestFit="1" customWidth="1"/>
    <col min="8" max="8" width="10.42578125" customWidth="1"/>
    <col min="9" max="9" width="16.7109375" bestFit="1" customWidth="1"/>
    <col min="10" max="10" width="16.7109375" style="26" bestFit="1" customWidth="1"/>
    <col min="11" max="11" width="11.42578125" style="25"/>
    <col min="12" max="12" width="12.42578125" style="25" bestFit="1" customWidth="1"/>
    <col min="13" max="13" width="29.42578125" customWidth="1"/>
  </cols>
  <sheetData>
    <row r="1" spans="1:16" ht="18">
      <c r="K1" s="28"/>
      <c r="L1" s="94">
        <f>SUM(L3:L119)</f>
        <v>0</v>
      </c>
      <c r="N1" s="94">
        <f>(SUM(K3:K60)-SUM(O4:O4))</f>
        <v>0</v>
      </c>
    </row>
    <row r="2" spans="1:16" s="120" customFormat="1" ht="30" customHeight="1">
      <c r="A2" s="53" t="s">
        <v>45</v>
      </c>
      <c r="B2" s="53" t="s">
        <v>46</v>
      </c>
      <c r="C2" s="53" t="s">
        <v>47</v>
      </c>
      <c r="D2" s="53" t="s">
        <v>48</v>
      </c>
      <c r="E2" s="53" t="s">
        <v>49</v>
      </c>
      <c r="F2" s="53" t="s">
        <v>50</v>
      </c>
      <c r="G2" s="53" t="s">
        <v>51</v>
      </c>
      <c r="H2" s="53" t="s">
        <v>52</v>
      </c>
      <c r="I2" s="64" t="s">
        <v>53</v>
      </c>
      <c r="J2" s="53" t="s">
        <v>54</v>
      </c>
      <c r="K2" s="119" t="s">
        <v>55</v>
      </c>
      <c r="L2" s="53"/>
    </row>
    <row r="3" spans="1:16" ht="19.899999999999999" customHeight="1">
      <c r="A3" s="106"/>
      <c r="B3" s="106"/>
      <c r="C3" s="33"/>
      <c r="D3" s="32"/>
      <c r="E3" s="32"/>
      <c r="F3" s="172"/>
      <c r="G3" s="172"/>
      <c r="H3" s="32"/>
      <c r="I3" s="32"/>
      <c r="J3" s="68"/>
      <c r="K3" s="113"/>
      <c r="L3" s="113"/>
      <c r="N3" s="118" t="s">
        <v>56</v>
      </c>
      <c r="O3" s="117" t="s">
        <v>57</v>
      </c>
    </row>
    <row r="4" spans="1:16" ht="19.899999999999999" customHeight="1">
      <c r="A4" s="106"/>
      <c r="B4" s="106"/>
      <c r="C4" s="33"/>
      <c r="D4" s="32"/>
      <c r="E4" s="32"/>
      <c r="F4" s="172"/>
      <c r="G4" s="172"/>
      <c r="H4" s="32"/>
      <c r="I4" s="32"/>
      <c r="J4" s="68"/>
      <c r="K4" s="113"/>
      <c r="L4" s="113"/>
      <c r="N4" s="74"/>
      <c r="O4" s="76"/>
      <c r="P4" s="173"/>
    </row>
    <row r="5" spans="1:16" ht="19.899999999999999" customHeight="1">
      <c r="A5" s="106"/>
      <c r="B5" s="106"/>
      <c r="C5" s="33"/>
      <c r="D5" s="32"/>
      <c r="E5" s="32"/>
      <c r="F5" s="172"/>
      <c r="G5" s="172"/>
      <c r="H5" s="32"/>
      <c r="I5" s="32"/>
      <c r="J5" s="68"/>
      <c r="K5" s="113"/>
      <c r="L5" s="113"/>
    </row>
    <row r="6" spans="1:16" ht="19.899999999999999" customHeight="1">
      <c r="A6" s="106"/>
      <c r="B6" s="106"/>
      <c r="C6" s="33"/>
      <c r="D6" s="32"/>
      <c r="E6" s="32"/>
      <c r="F6" s="172"/>
      <c r="G6" s="172"/>
      <c r="H6" s="32"/>
      <c r="I6" s="32"/>
      <c r="J6" s="68"/>
      <c r="K6" s="113"/>
      <c r="L6" s="113"/>
    </row>
    <row r="7" spans="1:16" ht="19.899999999999999" customHeight="1">
      <c r="A7" s="106"/>
      <c r="B7" s="106"/>
      <c r="C7" s="33"/>
      <c r="D7" s="33"/>
      <c r="E7" s="32"/>
      <c r="F7" s="172"/>
      <c r="G7" s="172"/>
      <c r="H7" s="32"/>
      <c r="I7" s="32"/>
      <c r="J7" s="68"/>
      <c r="K7" s="113"/>
      <c r="L7" s="113"/>
    </row>
    <row r="8" spans="1:16" ht="19.899999999999999" customHeight="1">
      <c r="A8" s="106"/>
      <c r="B8" s="106"/>
      <c r="C8" s="33"/>
      <c r="D8" s="33"/>
      <c r="E8" s="32"/>
      <c r="F8" s="172"/>
      <c r="G8" s="172"/>
      <c r="H8" s="32"/>
      <c r="I8" s="32"/>
      <c r="J8" s="68"/>
      <c r="K8" s="113"/>
      <c r="L8" s="113"/>
    </row>
    <row r="9" spans="1:16" ht="19.899999999999999" customHeight="1">
      <c r="A9" s="106"/>
      <c r="B9" s="106"/>
      <c r="C9" s="33"/>
      <c r="D9" s="33"/>
      <c r="E9" s="32"/>
      <c r="F9" s="172"/>
      <c r="G9" s="172"/>
      <c r="H9" s="32"/>
      <c r="I9" s="32"/>
      <c r="J9" s="68"/>
      <c r="K9" s="113"/>
      <c r="L9" s="113"/>
    </row>
    <row r="10" spans="1:16" ht="19.899999999999999" customHeight="1">
      <c r="A10" s="106"/>
      <c r="B10" s="106"/>
      <c r="C10" s="33"/>
      <c r="D10" s="33"/>
      <c r="E10" s="32"/>
      <c r="F10" s="34"/>
      <c r="G10" s="34"/>
      <c r="H10" s="32"/>
      <c r="I10" s="32"/>
      <c r="J10" s="68"/>
      <c r="K10" s="113"/>
      <c r="L10" s="113"/>
    </row>
    <row r="11" spans="1:16" ht="19.899999999999999" customHeight="1">
      <c r="A11" s="106"/>
      <c r="B11" s="106"/>
      <c r="C11" s="33"/>
      <c r="D11" s="33"/>
      <c r="E11" s="32"/>
      <c r="F11" s="34"/>
      <c r="G11" s="34"/>
      <c r="H11" s="32"/>
      <c r="I11" s="32"/>
      <c r="J11" s="68"/>
      <c r="K11" s="113"/>
      <c r="L11" s="113"/>
    </row>
    <row r="12" spans="1:16" ht="19.899999999999999" customHeight="1">
      <c r="A12" s="106"/>
      <c r="B12" s="106"/>
      <c r="C12" s="33"/>
      <c r="D12" s="32"/>
      <c r="E12" s="32"/>
      <c r="F12" s="34"/>
      <c r="G12" s="34"/>
      <c r="H12" s="32"/>
      <c r="I12" s="32"/>
      <c r="J12" s="68"/>
      <c r="K12" s="113"/>
      <c r="L12" s="113"/>
      <c r="O12" s="1"/>
    </row>
    <row r="13" spans="1:16" ht="19.899999999999999" customHeight="1">
      <c r="A13" s="106"/>
      <c r="B13" s="106"/>
      <c r="C13" s="33"/>
      <c r="D13" s="32"/>
      <c r="E13" s="32"/>
      <c r="F13" s="34"/>
      <c r="G13" s="34"/>
      <c r="H13" s="32"/>
      <c r="I13" s="32"/>
      <c r="J13" s="68"/>
      <c r="K13" s="113"/>
      <c r="L13" s="113"/>
    </row>
    <row r="14" spans="1:16" ht="19.899999999999999" customHeight="1">
      <c r="A14" s="106"/>
      <c r="B14" s="106"/>
      <c r="C14" s="33"/>
      <c r="D14" s="32"/>
      <c r="E14" s="32"/>
      <c r="F14" s="34"/>
      <c r="G14" s="34"/>
      <c r="H14" s="32"/>
      <c r="I14" s="32"/>
      <c r="J14" s="68"/>
      <c r="K14" s="113"/>
      <c r="L14" s="113"/>
    </row>
    <row r="15" spans="1:16" ht="19.899999999999999" customHeight="1">
      <c r="A15" s="106"/>
      <c r="B15" s="106"/>
      <c r="C15" s="33"/>
      <c r="D15" s="32"/>
      <c r="E15" s="32"/>
      <c r="F15" s="34"/>
      <c r="G15" s="34"/>
      <c r="H15" s="32"/>
      <c r="I15" s="32"/>
      <c r="J15" s="68"/>
      <c r="K15" s="113"/>
      <c r="L15" s="113"/>
    </row>
    <row r="16" spans="1:16" ht="19.899999999999999" customHeight="1">
      <c r="A16" s="106"/>
      <c r="B16" s="106"/>
      <c r="C16" s="33"/>
      <c r="D16" s="32"/>
      <c r="E16" s="32"/>
      <c r="F16" s="34"/>
      <c r="G16" s="34"/>
      <c r="H16" s="32"/>
      <c r="I16" s="32"/>
      <c r="J16" s="68"/>
      <c r="K16" s="113"/>
      <c r="L16" s="113"/>
    </row>
    <row r="17" spans="1:12" ht="19.899999999999999" customHeight="1">
      <c r="A17" s="106"/>
      <c r="B17" s="106"/>
      <c r="C17" s="33"/>
      <c r="D17" s="32"/>
      <c r="E17" s="32"/>
      <c r="F17" s="34"/>
      <c r="G17" s="34"/>
      <c r="H17" s="32"/>
      <c r="I17" s="32"/>
      <c r="J17" s="68"/>
      <c r="K17" s="113"/>
      <c r="L17" s="113"/>
    </row>
    <row r="18" spans="1:12" ht="19.899999999999999" customHeight="1">
      <c r="A18" s="32"/>
      <c r="B18" s="106"/>
      <c r="C18" s="33"/>
      <c r="D18" s="32"/>
      <c r="E18" s="32"/>
      <c r="F18" s="34"/>
      <c r="G18" s="34"/>
      <c r="H18" s="32"/>
      <c r="I18" s="32"/>
      <c r="J18" s="68"/>
      <c r="K18" s="113"/>
      <c r="L18" s="113"/>
    </row>
    <row r="19" spans="1:12" ht="19.899999999999999" customHeight="1">
      <c r="A19" s="32"/>
      <c r="B19" s="106"/>
      <c r="C19" s="33"/>
      <c r="D19" s="32"/>
      <c r="E19" s="32"/>
      <c r="F19" s="34"/>
      <c r="G19" s="34"/>
      <c r="H19" s="32"/>
      <c r="I19" s="33"/>
      <c r="J19" s="68"/>
      <c r="K19" s="113"/>
      <c r="L19" s="113"/>
    </row>
    <row r="20" spans="1:12" ht="19.899999999999999" customHeight="1">
      <c r="A20" s="106"/>
      <c r="B20" s="106"/>
      <c r="C20" s="33"/>
      <c r="D20" s="32"/>
      <c r="E20" s="32"/>
      <c r="F20" s="172"/>
      <c r="G20" s="172"/>
      <c r="H20" s="32"/>
      <c r="I20" s="172"/>
      <c r="J20" s="68"/>
      <c r="K20" s="113"/>
      <c r="L20" s="113"/>
    </row>
    <row r="21" spans="1:12" ht="19.899999999999999" customHeight="1">
      <c r="A21" s="106"/>
      <c r="B21" s="106"/>
      <c r="C21" s="33"/>
      <c r="D21" s="32"/>
      <c r="E21" s="32"/>
      <c r="F21" s="172"/>
      <c r="G21" s="172"/>
      <c r="H21" s="32"/>
      <c r="I21" s="172"/>
      <c r="J21" s="68"/>
      <c r="K21" s="113"/>
      <c r="L21" s="113"/>
    </row>
    <row r="22" spans="1:12" ht="19.899999999999999" customHeight="1">
      <c r="A22" s="106"/>
      <c r="B22" s="106"/>
      <c r="C22" s="33"/>
      <c r="D22" s="32"/>
      <c r="E22" s="32"/>
      <c r="F22" s="172"/>
      <c r="G22" s="172"/>
      <c r="H22" s="32"/>
      <c r="I22" s="172"/>
      <c r="J22" s="68"/>
      <c r="K22" s="113"/>
      <c r="L22" s="113"/>
    </row>
    <row r="23" spans="1:12" ht="19.899999999999999" customHeight="1">
      <c r="A23" s="106"/>
      <c r="B23" s="106"/>
      <c r="C23" s="33"/>
      <c r="D23" s="32"/>
      <c r="E23" s="32"/>
      <c r="F23" s="172"/>
      <c r="G23" s="172"/>
      <c r="H23" s="32"/>
      <c r="I23" s="172"/>
      <c r="J23" s="68"/>
      <c r="K23" s="113"/>
      <c r="L23" s="113"/>
    </row>
    <row r="24" spans="1:12" ht="19.899999999999999" customHeight="1">
      <c r="A24" s="106"/>
      <c r="B24" s="106"/>
      <c r="C24" s="33"/>
      <c r="D24" s="32"/>
      <c r="E24" s="32"/>
      <c r="F24" s="172"/>
      <c r="G24" s="172"/>
      <c r="H24" s="32"/>
      <c r="I24" s="172"/>
      <c r="J24" s="68"/>
      <c r="K24" s="113"/>
      <c r="L24" s="113"/>
    </row>
    <row r="25" spans="1:12" ht="19.899999999999999" customHeight="1">
      <c r="A25" s="106"/>
      <c r="B25" s="106"/>
      <c r="C25" s="33"/>
      <c r="D25" s="32"/>
      <c r="E25" s="34"/>
      <c r="F25" s="34"/>
      <c r="G25" s="34"/>
      <c r="H25" s="32"/>
      <c r="I25" s="34"/>
      <c r="J25" s="68"/>
      <c r="K25" s="170"/>
      <c r="L25" s="113"/>
    </row>
    <row r="26" spans="1:12" ht="19.899999999999999" customHeight="1">
      <c r="A26" s="32"/>
      <c r="B26" s="106"/>
      <c r="C26" s="33"/>
      <c r="D26" s="32"/>
      <c r="E26" s="32"/>
      <c r="F26" s="34"/>
      <c r="G26" s="34"/>
      <c r="H26" s="32"/>
      <c r="I26" s="33"/>
      <c r="J26" s="68"/>
      <c r="K26" s="113"/>
      <c r="L26" s="113"/>
    </row>
    <row r="27" spans="1:12" ht="19.899999999999999" customHeight="1">
      <c r="A27" s="32"/>
      <c r="B27" s="106"/>
      <c r="C27" s="33"/>
      <c r="D27" s="32"/>
      <c r="E27" s="32"/>
      <c r="F27" s="34"/>
      <c r="G27" s="34"/>
      <c r="H27" s="32"/>
      <c r="I27" s="33"/>
      <c r="J27" s="68"/>
      <c r="K27" s="113"/>
      <c r="L27" s="113"/>
    </row>
    <row r="28" spans="1:12" ht="19.899999999999999" customHeight="1">
      <c r="A28" s="32"/>
      <c r="B28" s="106"/>
      <c r="C28" s="33"/>
      <c r="D28" s="32"/>
      <c r="E28" s="32"/>
      <c r="F28" s="34"/>
      <c r="G28" s="34"/>
      <c r="H28" s="32"/>
      <c r="I28" s="33"/>
      <c r="J28" s="68"/>
      <c r="K28" s="113"/>
      <c r="L28" s="113"/>
    </row>
    <row r="29" spans="1:12" ht="19.899999999999999" customHeight="1">
      <c r="A29" s="32"/>
      <c r="B29" s="106"/>
      <c r="C29" s="33"/>
      <c r="D29" s="32"/>
      <c r="E29" s="32"/>
      <c r="F29" s="34"/>
      <c r="G29" s="34"/>
      <c r="H29" s="32"/>
      <c r="I29" s="33"/>
      <c r="J29" s="68"/>
      <c r="K29" s="113"/>
      <c r="L29" s="113"/>
    </row>
    <row r="30" spans="1:12" ht="19.899999999999999" customHeight="1">
      <c r="A30" s="32"/>
      <c r="B30" s="106"/>
      <c r="C30" s="33"/>
      <c r="D30" s="32"/>
      <c r="E30" s="32"/>
      <c r="F30" s="34"/>
      <c r="G30" s="34"/>
      <c r="H30" s="32"/>
      <c r="I30" s="33"/>
      <c r="J30" s="68"/>
      <c r="K30" s="113"/>
      <c r="L30" s="113"/>
    </row>
    <row r="31" spans="1:12" ht="19.899999999999999" customHeight="1">
      <c r="A31" s="32"/>
      <c r="B31" s="106"/>
      <c r="C31" s="33"/>
      <c r="D31" s="32"/>
      <c r="E31" s="32"/>
      <c r="F31" s="34"/>
      <c r="G31" s="34"/>
      <c r="H31" s="32"/>
      <c r="I31" s="33"/>
      <c r="J31" s="68"/>
      <c r="K31" s="113"/>
      <c r="L31" s="113"/>
    </row>
    <row r="32" spans="1:12" ht="19.899999999999999" customHeight="1">
      <c r="A32" s="32"/>
      <c r="B32" s="106"/>
      <c r="C32" s="33"/>
      <c r="D32" s="32"/>
      <c r="E32" s="32"/>
      <c r="F32" s="34"/>
      <c r="G32" s="34"/>
      <c r="H32" s="32"/>
      <c r="I32" s="33"/>
      <c r="J32" s="68"/>
      <c r="K32" s="113"/>
      <c r="L32" s="113"/>
    </row>
    <row r="33" spans="1:15" ht="19.899999999999999" customHeight="1">
      <c r="A33" s="32"/>
      <c r="B33" s="106"/>
      <c r="C33" s="33"/>
      <c r="D33" s="32"/>
      <c r="E33" s="32"/>
      <c r="F33" s="34"/>
      <c r="G33" s="34"/>
      <c r="H33" s="32"/>
      <c r="I33" s="33"/>
      <c r="J33" s="68"/>
      <c r="K33" s="113"/>
      <c r="L33" s="113"/>
    </row>
    <row r="34" spans="1:15" ht="19.899999999999999" customHeight="1">
      <c r="A34" s="32"/>
      <c r="B34" s="106"/>
      <c r="C34" s="33"/>
      <c r="D34" s="32"/>
      <c r="E34" s="32"/>
      <c r="F34" s="34"/>
      <c r="G34" s="34"/>
      <c r="H34" s="32"/>
      <c r="I34" s="35"/>
      <c r="J34" s="68"/>
      <c r="K34" s="113"/>
      <c r="L34" s="113"/>
    </row>
    <row r="35" spans="1:15" ht="19.899999999999999" customHeight="1">
      <c r="A35" s="32"/>
      <c r="B35" s="106"/>
      <c r="C35" s="33"/>
      <c r="D35" s="32"/>
      <c r="E35" s="32"/>
      <c r="F35" s="34"/>
      <c r="G35" s="34"/>
      <c r="H35" s="32"/>
      <c r="I35" s="35"/>
      <c r="J35" s="68"/>
      <c r="K35" s="113"/>
      <c r="L35" s="113"/>
    </row>
    <row r="36" spans="1:15" ht="19.899999999999999" customHeight="1">
      <c r="A36" s="32"/>
      <c r="B36" s="106"/>
      <c r="C36" s="33"/>
      <c r="D36" s="32"/>
      <c r="E36" s="32"/>
      <c r="F36" s="34"/>
      <c r="G36" s="34"/>
      <c r="H36" s="32"/>
      <c r="I36" s="35"/>
      <c r="J36" s="68"/>
      <c r="K36" s="113"/>
      <c r="L36" s="113"/>
      <c r="O36" s="25"/>
    </row>
    <row r="37" spans="1:15" ht="19.899999999999999" customHeight="1">
      <c r="A37" s="32"/>
      <c r="B37" s="106"/>
      <c r="C37" s="33"/>
      <c r="D37" s="32"/>
      <c r="E37" s="32"/>
      <c r="F37" s="34"/>
      <c r="G37" s="34"/>
      <c r="H37" s="32"/>
      <c r="I37" s="35"/>
      <c r="J37" s="68"/>
      <c r="K37" s="113"/>
      <c r="L37" s="113"/>
    </row>
    <row r="38" spans="1:15" ht="19.899999999999999" customHeight="1">
      <c r="A38" s="32"/>
      <c r="B38" s="106"/>
      <c r="C38" s="33"/>
      <c r="D38" s="32"/>
      <c r="E38" s="32"/>
      <c r="F38" s="34"/>
      <c r="G38" s="34"/>
      <c r="H38" s="32"/>
      <c r="I38" s="35"/>
      <c r="J38" s="68"/>
      <c r="K38" s="113"/>
      <c r="L38" s="113"/>
      <c r="O38" s="1"/>
    </row>
    <row r="39" spans="1:15" ht="19.899999999999999" customHeight="1">
      <c r="A39" s="32"/>
      <c r="B39" s="106"/>
      <c r="C39" s="33"/>
      <c r="D39" s="32"/>
      <c r="E39" s="32"/>
      <c r="F39" s="34"/>
      <c r="G39" s="34"/>
      <c r="H39" s="32"/>
      <c r="I39" s="35"/>
      <c r="J39" s="68"/>
      <c r="K39" s="113"/>
      <c r="L39" s="113"/>
    </row>
    <row r="40" spans="1:15" ht="19.899999999999999" customHeight="1">
      <c r="A40" s="32"/>
      <c r="B40" s="106"/>
      <c r="C40" s="33"/>
      <c r="D40" s="32"/>
      <c r="E40" s="32"/>
      <c r="F40" s="34"/>
      <c r="G40" s="34"/>
      <c r="H40" s="32"/>
      <c r="I40" s="35"/>
      <c r="J40" s="68"/>
      <c r="K40" s="113"/>
      <c r="L40" s="113"/>
    </row>
    <row r="41" spans="1:15" ht="19.899999999999999" customHeight="1">
      <c r="A41" s="32"/>
      <c r="B41" s="106"/>
      <c r="C41" s="33"/>
      <c r="D41" s="32"/>
      <c r="E41" s="32"/>
      <c r="F41" s="34"/>
      <c r="G41" s="105"/>
      <c r="H41" s="32"/>
      <c r="I41" s="35"/>
      <c r="J41" s="68"/>
      <c r="K41" s="113"/>
      <c r="L41" s="113"/>
      <c r="O41" s="1"/>
    </row>
    <row r="42" spans="1:15" ht="19.899999999999999" customHeight="1">
      <c r="A42" s="32"/>
      <c r="B42" s="106"/>
      <c r="C42" s="33"/>
      <c r="D42" s="32"/>
      <c r="E42" s="32"/>
      <c r="F42" s="34"/>
      <c r="G42" s="105"/>
      <c r="H42" s="32"/>
      <c r="I42" s="35"/>
      <c r="J42" s="68"/>
      <c r="K42" s="113"/>
      <c r="L42" s="113"/>
    </row>
    <row r="43" spans="1:15" ht="19.899999999999999" customHeight="1">
      <c r="A43" s="32"/>
      <c r="B43" s="106"/>
      <c r="C43" s="33"/>
      <c r="D43" s="32"/>
      <c r="E43" s="32"/>
      <c r="F43" s="34"/>
      <c r="G43" s="105"/>
      <c r="H43" s="32"/>
      <c r="I43" s="35"/>
      <c r="J43" s="68"/>
      <c r="K43" s="113"/>
      <c r="L43" s="113"/>
    </row>
    <row r="44" spans="1:15" ht="19.899999999999999" customHeight="1">
      <c r="A44" s="32"/>
      <c r="B44" s="106"/>
      <c r="C44" s="33"/>
      <c r="D44" s="32"/>
      <c r="E44" s="32"/>
      <c r="F44" s="34"/>
      <c r="G44" s="105"/>
      <c r="H44" s="32"/>
      <c r="I44" s="35"/>
      <c r="J44" s="68"/>
      <c r="K44" s="113"/>
      <c r="L44" s="113"/>
    </row>
    <row r="45" spans="1:15" ht="19.899999999999999" customHeight="1">
      <c r="A45" s="32"/>
      <c r="B45" s="106"/>
      <c r="C45" s="33"/>
      <c r="D45" s="32"/>
      <c r="E45" s="32"/>
      <c r="F45" s="34"/>
      <c r="G45" s="105"/>
      <c r="H45" s="32"/>
      <c r="I45" s="35"/>
      <c r="J45" s="68"/>
      <c r="K45" s="113"/>
      <c r="L45" s="113"/>
    </row>
    <row r="46" spans="1:15" ht="19.899999999999999" customHeight="1">
      <c r="A46" s="32"/>
      <c r="B46" s="106"/>
      <c r="C46" s="33"/>
      <c r="D46" s="32"/>
      <c r="E46" s="32"/>
      <c r="F46" s="34"/>
      <c r="G46" s="105"/>
      <c r="H46" s="32"/>
      <c r="I46" s="35"/>
      <c r="J46" s="68"/>
      <c r="K46" s="113"/>
      <c r="L46" s="113"/>
    </row>
    <row r="47" spans="1:15" ht="19.899999999999999" customHeight="1">
      <c r="A47" s="32"/>
      <c r="B47" s="106"/>
      <c r="C47" s="33"/>
      <c r="D47" s="32"/>
      <c r="E47" s="32"/>
      <c r="F47" s="34"/>
      <c r="G47" s="105"/>
      <c r="H47" s="32"/>
      <c r="I47" s="35"/>
      <c r="J47" s="68"/>
      <c r="K47" s="113"/>
      <c r="L47" s="113"/>
    </row>
    <row r="48" spans="1:15" ht="19.899999999999999" customHeight="1">
      <c r="A48" s="32"/>
      <c r="B48" s="106"/>
      <c r="C48" s="33"/>
      <c r="D48" s="32"/>
      <c r="E48" s="32"/>
      <c r="F48" s="34"/>
      <c r="G48" s="105"/>
      <c r="H48" s="32"/>
      <c r="I48" s="35"/>
      <c r="J48" s="68"/>
      <c r="K48" s="113"/>
      <c r="L48" s="113"/>
    </row>
    <row r="49" spans="1:12" ht="19.899999999999999" customHeight="1">
      <c r="A49" s="32"/>
      <c r="B49" s="33"/>
      <c r="C49" s="33"/>
      <c r="D49" s="32"/>
      <c r="E49" s="32"/>
      <c r="F49" s="34"/>
      <c r="G49" s="105"/>
      <c r="H49" s="32"/>
      <c r="I49" s="35"/>
      <c r="J49" s="68"/>
      <c r="K49" s="113"/>
      <c r="L49" s="113"/>
    </row>
    <row r="50" spans="1:12" ht="19.899999999999999" customHeight="1">
      <c r="A50" s="32"/>
      <c r="B50" s="33"/>
      <c r="C50" s="33"/>
      <c r="D50" s="32"/>
      <c r="E50" s="32"/>
      <c r="F50" s="34"/>
      <c r="G50" s="105"/>
      <c r="H50" s="32"/>
      <c r="I50" s="35"/>
      <c r="J50" s="68"/>
      <c r="K50" s="113"/>
      <c r="L50" s="113"/>
    </row>
    <row r="51" spans="1:12" ht="19.899999999999999" customHeight="1">
      <c r="A51" s="32"/>
      <c r="B51" s="33"/>
      <c r="C51" s="33"/>
      <c r="D51" s="32"/>
      <c r="E51" s="32"/>
      <c r="F51" s="34"/>
      <c r="G51" s="105"/>
      <c r="H51" s="32"/>
      <c r="I51" s="35"/>
      <c r="J51" s="68"/>
      <c r="K51" s="113"/>
      <c r="L51" s="113"/>
    </row>
    <row r="52" spans="1:12" ht="19.899999999999999" customHeight="1">
      <c r="A52" s="32"/>
      <c r="B52" s="33"/>
      <c r="C52" s="33"/>
      <c r="D52" s="32"/>
      <c r="E52" s="32"/>
      <c r="F52" s="34"/>
      <c r="G52" s="105"/>
      <c r="H52" s="32"/>
      <c r="I52" s="35"/>
      <c r="J52" s="68"/>
      <c r="K52" s="113"/>
      <c r="L52" s="113"/>
    </row>
    <row r="53" spans="1:12" ht="19.899999999999999" customHeight="1">
      <c r="A53" s="32"/>
      <c r="B53" s="33"/>
      <c r="C53" s="33"/>
      <c r="D53" s="32"/>
      <c r="E53" s="32"/>
      <c r="F53" s="34"/>
      <c r="G53" s="105"/>
      <c r="H53" s="32"/>
      <c r="I53" s="35"/>
      <c r="J53" s="68"/>
      <c r="K53" s="113"/>
      <c r="L53" s="113"/>
    </row>
    <row r="54" spans="1:12" ht="19.899999999999999" customHeight="1">
      <c r="A54" s="32"/>
      <c r="B54" s="33"/>
      <c r="C54" s="33"/>
      <c r="D54" s="32"/>
      <c r="E54" s="32"/>
      <c r="F54" s="34"/>
      <c r="G54" s="105"/>
      <c r="H54" s="32"/>
      <c r="I54" s="35"/>
      <c r="J54" s="68"/>
      <c r="K54" s="113"/>
      <c r="L54" s="113"/>
    </row>
    <row r="55" spans="1:12" ht="19.899999999999999" customHeight="1">
      <c r="A55" s="32"/>
      <c r="B55" s="33"/>
      <c r="C55" s="33"/>
      <c r="D55" s="32"/>
      <c r="E55" s="32"/>
      <c r="F55" s="34"/>
      <c r="G55" s="105"/>
      <c r="H55" s="32"/>
      <c r="I55" s="35"/>
      <c r="J55" s="68"/>
      <c r="K55" s="113"/>
      <c r="L55" s="113"/>
    </row>
    <row r="56" spans="1:12" ht="19.899999999999999" customHeight="1">
      <c r="A56" s="32"/>
      <c r="B56" s="33"/>
      <c r="C56" s="33"/>
      <c r="D56" s="32"/>
      <c r="E56" s="32"/>
      <c r="F56" s="34"/>
      <c r="G56" s="105"/>
      <c r="H56" s="32"/>
      <c r="I56" s="35"/>
      <c r="J56" s="68"/>
      <c r="K56" s="113"/>
      <c r="L56" s="113"/>
    </row>
    <row r="57" spans="1:12" ht="19.899999999999999" customHeight="1">
      <c r="A57" s="32"/>
      <c r="B57" s="33"/>
      <c r="C57" s="33"/>
      <c r="D57" s="32"/>
      <c r="E57" s="32"/>
      <c r="F57" s="34"/>
      <c r="G57" s="105"/>
      <c r="H57" s="32"/>
      <c r="I57" s="35"/>
      <c r="J57" s="68"/>
      <c r="K57" s="113"/>
      <c r="L57" s="113"/>
    </row>
    <row r="58" spans="1:12" ht="19.899999999999999" customHeight="1">
      <c r="A58" s="32"/>
      <c r="B58" s="33"/>
      <c r="C58" s="33"/>
      <c r="D58" s="32"/>
      <c r="E58" s="32"/>
      <c r="F58" s="34"/>
      <c r="G58" s="105"/>
      <c r="H58" s="32"/>
      <c r="I58" s="35"/>
      <c r="J58" s="68"/>
      <c r="K58" s="113"/>
      <c r="L58" s="113"/>
    </row>
    <row r="59" spans="1:12" ht="19.899999999999999" customHeight="1">
      <c r="A59" s="32"/>
      <c r="B59" s="33"/>
      <c r="C59" s="33"/>
      <c r="D59" s="32"/>
      <c r="E59" s="32"/>
      <c r="F59" s="34"/>
      <c r="G59" s="105"/>
      <c r="H59" s="32"/>
      <c r="I59" s="35"/>
      <c r="J59" s="68"/>
      <c r="K59" s="113"/>
      <c r="L59" s="113"/>
    </row>
    <row r="60" spans="1:12">
      <c r="A60" s="32"/>
      <c r="B60" s="32"/>
      <c r="C60" s="32"/>
      <c r="D60" s="32"/>
      <c r="E60" s="32"/>
      <c r="F60" s="34"/>
      <c r="G60" s="105"/>
      <c r="H60" s="32"/>
      <c r="I60" s="77"/>
      <c r="J60" s="112"/>
      <c r="K60" s="113"/>
      <c r="L60" s="113"/>
    </row>
  </sheetData>
  <conditionalFormatting sqref="A1:A1048576">
    <cfRule type="duplicateValues" dxfId="3144" priority="1"/>
    <cfRule type="duplicateValues" dxfId="3143" priority="5"/>
    <cfRule type="duplicateValues" dxfId="3142" priority="6"/>
    <cfRule type="duplicateValues" dxfId="3141" priority="7"/>
  </conditionalFormatting>
  <conditionalFormatting sqref="A60">
    <cfRule type="duplicateValues" dxfId="3140" priority="9"/>
  </conditionalFormatting>
  <conditionalFormatting sqref="A61:A1048576 A1:A59">
    <cfRule type="duplicateValues" dxfId="3139" priority="22"/>
    <cfRule type="duplicateValues" dxfId="3138" priority="23"/>
    <cfRule type="duplicateValues" dxfId="3137" priority="25"/>
    <cfRule type="duplicateValues" dxfId="3136" priority="26"/>
  </conditionalFormatting>
  <conditionalFormatting sqref="E1:E1048576">
    <cfRule type="duplicateValues" dxfId="3135" priority="28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C3A6-752B-45EE-83D3-2B3B0A003FD6}">
  <sheetPr codeName="Hoja3">
    <tabColor theme="8" tint="0.79998168889431442"/>
  </sheetPr>
  <dimension ref="A1:Q201"/>
  <sheetViews>
    <sheetView topLeftCell="A51" workbookViewId="0">
      <selection activeCell="I59" sqref="I59"/>
    </sheetView>
  </sheetViews>
  <sheetFormatPr defaultColWidth="11.42578125" defaultRowHeight="16.899999999999999" customHeight="1"/>
  <cols>
    <col min="1" max="1" width="15" bestFit="1" customWidth="1"/>
    <col min="2" max="2" width="20.7109375" customWidth="1"/>
    <col min="3" max="3" width="17.7109375" customWidth="1"/>
    <col min="4" max="4" width="14.7109375" customWidth="1"/>
    <col min="5" max="6" width="8.42578125" customWidth="1"/>
    <col min="7" max="7" width="16.7109375" bestFit="1" customWidth="1"/>
    <col min="8" max="8" width="13.140625" customWidth="1"/>
    <col min="9" max="9" width="19.7109375" style="29" bestFit="1" customWidth="1"/>
    <col min="10" max="11" width="12.140625" style="25" customWidth="1"/>
    <col min="12" max="12" width="8.7109375" style="25" customWidth="1"/>
    <col min="13" max="13" width="11.42578125" style="28"/>
    <col min="14" max="14" width="11.42578125" style="292"/>
    <col min="17" max="17" width="14" style="147" bestFit="1" customWidth="1"/>
  </cols>
  <sheetData>
    <row r="1" spans="1:17" ht="16.899999999999999" customHeight="1">
      <c r="J1" s="30"/>
      <c r="K1" s="30"/>
      <c r="L1" s="30"/>
      <c r="M1" s="31">
        <f>SUM(M3:M300)-SUM(Q4:Q100)</f>
        <v>1268479</v>
      </c>
    </row>
    <row r="2" spans="1:17" ht="24" customHeight="1">
      <c r="A2" s="83" t="s">
        <v>45</v>
      </c>
      <c r="B2" s="83" t="s">
        <v>46</v>
      </c>
      <c r="C2" s="83" t="s">
        <v>47</v>
      </c>
      <c r="D2" s="83" t="s">
        <v>49</v>
      </c>
      <c r="E2" s="83" t="s">
        <v>50</v>
      </c>
      <c r="F2" s="83" t="s">
        <v>51</v>
      </c>
      <c r="G2" s="83" t="s">
        <v>52</v>
      </c>
      <c r="H2" s="84" t="s">
        <v>53</v>
      </c>
      <c r="I2" s="84" t="s">
        <v>54</v>
      </c>
      <c r="J2" s="84" t="s">
        <v>58</v>
      </c>
      <c r="K2" s="84" t="s">
        <v>59</v>
      </c>
      <c r="L2" s="27" t="s">
        <v>60</v>
      </c>
      <c r="M2" s="27" t="s">
        <v>55</v>
      </c>
    </row>
    <row r="3" spans="1:17" ht="24" customHeight="1">
      <c r="A3" s="211" t="s">
        <v>61</v>
      </c>
      <c r="B3" s="211" t="s">
        <v>62</v>
      </c>
      <c r="C3" s="8" t="s">
        <v>63</v>
      </c>
      <c r="D3" s="7" t="s">
        <v>64</v>
      </c>
      <c r="E3" s="9">
        <v>46043</v>
      </c>
      <c r="F3" s="9">
        <v>46076</v>
      </c>
      <c r="G3" s="7" t="s">
        <v>65</v>
      </c>
      <c r="H3" s="7" t="s">
        <v>66</v>
      </c>
      <c r="I3" s="278" t="s">
        <v>67</v>
      </c>
      <c r="J3" s="13">
        <v>3750</v>
      </c>
      <c r="K3" s="13"/>
      <c r="L3" s="13" t="s">
        <v>68</v>
      </c>
      <c r="M3" s="334">
        <v>3750</v>
      </c>
      <c r="N3" s="358">
        <v>0</v>
      </c>
      <c r="P3" s="118" t="s">
        <v>56</v>
      </c>
      <c r="Q3" s="148" t="s">
        <v>57</v>
      </c>
    </row>
    <row r="4" spans="1:17" ht="24" customHeight="1">
      <c r="A4" s="211" t="s">
        <v>69</v>
      </c>
      <c r="B4" s="211" t="s">
        <v>62</v>
      </c>
      <c r="C4" s="8" t="s">
        <v>63</v>
      </c>
      <c r="D4" s="7" t="s">
        <v>70</v>
      </c>
      <c r="E4" s="9">
        <v>46043</v>
      </c>
      <c r="F4" s="9">
        <v>46076</v>
      </c>
      <c r="G4" s="7" t="s">
        <v>65</v>
      </c>
      <c r="H4" s="9" t="s">
        <v>66</v>
      </c>
      <c r="I4" s="278" t="s">
        <v>67</v>
      </c>
      <c r="J4" s="13">
        <v>3750</v>
      </c>
      <c r="K4" s="13"/>
      <c r="L4" s="13" t="s">
        <v>68</v>
      </c>
      <c r="M4" s="334">
        <v>3750</v>
      </c>
      <c r="N4" s="358">
        <v>0</v>
      </c>
      <c r="P4" s="74">
        <v>46177</v>
      </c>
      <c r="Q4" s="205">
        <v>22250</v>
      </c>
    </row>
    <row r="5" spans="1:17" ht="24" customHeight="1">
      <c r="A5" s="211" t="s">
        <v>71</v>
      </c>
      <c r="B5" s="211" t="s">
        <v>62</v>
      </c>
      <c r="C5" s="8" t="s">
        <v>63</v>
      </c>
      <c r="D5" s="7" t="s">
        <v>72</v>
      </c>
      <c r="E5" s="9">
        <v>46046</v>
      </c>
      <c r="F5" s="9">
        <v>46076</v>
      </c>
      <c r="G5" s="7" t="s">
        <v>65</v>
      </c>
      <c r="H5" s="9" t="s">
        <v>66</v>
      </c>
      <c r="I5" s="278" t="s">
        <v>67</v>
      </c>
      <c r="J5" s="13">
        <v>3750</v>
      </c>
      <c r="K5" s="13"/>
      <c r="L5" s="13" t="s">
        <v>68</v>
      </c>
      <c r="M5" s="334">
        <v>3750</v>
      </c>
      <c r="N5" s="358">
        <v>0</v>
      </c>
      <c r="P5" s="74">
        <v>46241</v>
      </c>
      <c r="Q5" s="205">
        <v>35700</v>
      </c>
    </row>
    <row r="6" spans="1:17" ht="24" customHeight="1">
      <c r="A6" s="211" t="s">
        <v>73</v>
      </c>
      <c r="B6" s="211" t="s">
        <v>62</v>
      </c>
      <c r="C6" s="8" t="s">
        <v>63</v>
      </c>
      <c r="D6" s="7" t="s">
        <v>74</v>
      </c>
      <c r="E6" s="9">
        <v>46046</v>
      </c>
      <c r="F6" s="9">
        <v>46076</v>
      </c>
      <c r="G6" s="7" t="s">
        <v>65</v>
      </c>
      <c r="H6" s="9" t="s">
        <v>66</v>
      </c>
      <c r="I6" s="278" t="s">
        <v>67</v>
      </c>
      <c r="J6" s="13">
        <v>3750</v>
      </c>
      <c r="K6" s="13"/>
      <c r="L6" s="13" t="s">
        <v>68</v>
      </c>
      <c r="M6" s="334">
        <v>3750</v>
      </c>
      <c r="N6" s="358">
        <v>0</v>
      </c>
      <c r="P6" s="74">
        <v>46254</v>
      </c>
      <c r="Q6" s="205">
        <v>36650</v>
      </c>
    </row>
    <row r="7" spans="1:17" ht="24" customHeight="1">
      <c r="A7" s="211" t="s">
        <v>75</v>
      </c>
      <c r="B7" s="211" t="s">
        <v>62</v>
      </c>
      <c r="C7" s="8" t="s">
        <v>63</v>
      </c>
      <c r="D7" s="7" t="s">
        <v>76</v>
      </c>
      <c r="E7" s="9">
        <v>46051</v>
      </c>
      <c r="F7" s="9">
        <v>46082</v>
      </c>
      <c r="G7" s="7" t="s">
        <v>65</v>
      </c>
      <c r="H7" s="9" t="s">
        <v>66</v>
      </c>
      <c r="I7" s="278" t="s">
        <v>67</v>
      </c>
      <c r="J7" s="13">
        <v>3750</v>
      </c>
      <c r="K7" s="13"/>
      <c r="L7" s="13" t="s">
        <v>68</v>
      </c>
      <c r="M7" s="334">
        <v>3750</v>
      </c>
      <c r="N7" s="358">
        <v>0</v>
      </c>
      <c r="P7" s="74">
        <v>46283</v>
      </c>
      <c r="Q7" s="205">
        <v>61840</v>
      </c>
    </row>
    <row r="8" spans="1:17" ht="24" customHeight="1">
      <c r="A8" s="211" t="s">
        <v>77</v>
      </c>
      <c r="B8" s="211" t="s">
        <v>62</v>
      </c>
      <c r="C8" s="8" t="s">
        <v>63</v>
      </c>
      <c r="D8" s="7" t="s">
        <v>78</v>
      </c>
      <c r="E8" s="9">
        <v>46058</v>
      </c>
      <c r="F8" s="9">
        <v>46084</v>
      </c>
      <c r="G8" s="7" t="s">
        <v>79</v>
      </c>
      <c r="H8" s="9" t="s">
        <v>66</v>
      </c>
      <c r="I8" s="278" t="s">
        <v>67</v>
      </c>
      <c r="J8" s="13">
        <v>3500</v>
      </c>
      <c r="K8" s="13"/>
      <c r="L8" s="13" t="s">
        <v>68</v>
      </c>
      <c r="M8" s="334">
        <v>3500</v>
      </c>
      <c r="N8" s="358">
        <v>0</v>
      </c>
      <c r="P8" s="74">
        <v>46213</v>
      </c>
      <c r="Q8" s="205">
        <v>40160</v>
      </c>
    </row>
    <row r="9" spans="1:17" ht="24" customHeight="1">
      <c r="A9" s="211" t="s">
        <v>80</v>
      </c>
      <c r="B9" s="211" t="s">
        <v>62</v>
      </c>
      <c r="C9" s="8" t="s">
        <v>63</v>
      </c>
      <c r="D9" s="7" t="s">
        <v>81</v>
      </c>
      <c r="E9" s="9">
        <v>46061</v>
      </c>
      <c r="F9" s="9">
        <v>46109</v>
      </c>
      <c r="G9" s="7" t="s">
        <v>79</v>
      </c>
      <c r="H9" s="9" t="s">
        <v>66</v>
      </c>
      <c r="I9" s="9" t="s">
        <v>67</v>
      </c>
      <c r="J9" s="13">
        <v>3400</v>
      </c>
      <c r="K9" s="13"/>
      <c r="L9" s="13" t="s">
        <v>68</v>
      </c>
      <c r="M9" s="334">
        <v>3400</v>
      </c>
      <c r="N9" s="358">
        <v>0</v>
      </c>
      <c r="Q9"/>
    </row>
    <row r="10" spans="1:17" ht="24" customHeight="1">
      <c r="A10" s="211" t="s">
        <v>82</v>
      </c>
      <c r="B10" s="211" t="s">
        <v>62</v>
      </c>
      <c r="C10" s="8" t="s">
        <v>63</v>
      </c>
      <c r="D10" s="7" t="s">
        <v>83</v>
      </c>
      <c r="E10" s="9">
        <v>46126</v>
      </c>
      <c r="F10" s="9">
        <v>46143</v>
      </c>
      <c r="G10" s="7" t="s">
        <v>84</v>
      </c>
      <c r="H10" s="9" t="s">
        <v>85</v>
      </c>
      <c r="I10" s="9" t="s">
        <v>86</v>
      </c>
      <c r="J10" s="13">
        <v>3000</v>
      </c>
      <c r="K10" s="13"/>
      <c r="L10" s="13">
        <v>1700</v>
      </c>
      <c r="M10" s="334">
        <f>SUM(J10:L10)</f>
        <v>4700</v>
      </c>
      <c r="N10" s="358">
        <v>0</v>
      </c>
      <c r="Q10"/>
    </row>
    <row r="11" spans="1:17" ht="24" customHeight="1">
      <c r="A11" s="211" t="s">
        <v>87</v>
      </c>
      <c r="B11" s="211" t="s">
        <v>62</v>
      </c>
      <c r="C11" s="8" t="s">
        <v>63</v>
      </c>
      <c r="D11" s="7" t="s">
        <v>88</v>
      </c>
      <c r="E11" s="9">
        <v>46137</v>
      </c>
      <c r="F11" s="9">
        <v>46143</v>
      </c>
      <c r="G11" s="7" t="s">
        <v>89</v>
      </c>
      <c r="H11" s="9" t="s">
        <v>66</v>
      </c>
      <c r="I11" s="9" t="s">
        <v>86</v>
      </c>
      <c r="J11" s="13">
        <v>3100</v>
      </c>
      <c r="K11" s="13"/>
      <c r="L11" s="13">
        <v>1700</v>
      </c>
      <c r="M11" s="334">
        <f>SUM(J11:L11)</f>
        <v>4800</v>
      </c>
      <c r="N11" s="358">
        <v>0</v>
      </c>
      <c r="Q11"/>
    </row>
    <row r="12" spans="1:17" ht="24" customHeight="1">
      <c r="A12" s="211" t="s">
        <v>90</v>
      </c>
      <c r="B12" s="211" t="s">
        <v>62</v>
      </c>
      <c r="C12" s="8" t="s">
        <v>91</v>
      </c>
      <c r="D12" s="7" t="s">
        <v>92</v>
      </c>
      <c r="E12" s="9">
        <v>46112</v>
      </c>
      <c r="F12" s="9">
        <v>46146</v>
      </c>
      <c r="G12" s="7" t="s">
        <v>84</v>
      </c>
      <c r="H12" s="9" t="s">
        <v>85</v>
      </c>
      <c r="I12" s="9" t="s">
        <v>86</v>
      </c>
      <c r="J12" s="13">
        <v>3100</v>
      </c>
      <c r="K12" s="13"/>
      <c r="L12" s="13">
        <v>1700</v>
      </c>
      <c r="M12" s="334">
        <f>SUM(J12:L12)</f>
        <v>4800</v>
      </c>
      <c r="N12" s="358">
        <v>0</v>
      </c>
      <c r="Q12"/>
    </row>
    <row r="13" spans="1:17" ht="24" customHeight="1">
      <c r="A13" s="211" t="s">
        <v>93</v>
      </c>
      <c r="B13" s="211" t="s">
        <v>62</v>
      </c>
      <c r="C13" s="8" t="s">
        <v>91</v>
      </c>
      <c r="D13" s="7" t="s">
        <v>94</v>
      </c>
      <c r="E13" s="9">
        <v>46112</v>
      </c>
      <c r="F13" s="9">
        <v>46146</v>
      </c>
      <c r="G13" s="7" t="s">
        <v>84</v>
      </c>
      <c r="H13" s="9" t="s">
        <v>85</v>
      </c>
      <c r="I13" s="9" t="s">
        <v>86</v>
      </c>
      <c r="J13" s="13">
        <v>3100</v>
      </c>
      <c r="K13" s="13"/>
      <c r="L13" s="13">
        <v>1700</v>
      </c>
      <c r="M13" s="334">
        <f>SUM(J13:L13)</f>
        <v>4800</v>
      </c>
      <c r="N13" s="358">
        <v>0</v>
      </c>
      <c r="Q13"/>
    </row>
    <row r="14" spans="1:17" ht="24" customHeight="1">
      <c r="A14" s="211" t="s">
        <v>95</v>
      </c>
      <c r="B14" s="211" t="s">
        <v>62</v>
      </c>
      <c r="C14" s="8" t="s">
        <v>91</v>
      </c>
      <c r="D14" s="7" t="s">
        <v>96</v>
      </c>
      <c r="E14" s="9">
        <v>46112</v>
      </c>
      <c r="F14" s="9">
        <v>46146</v>
      </c>
      <c r="G14" s="7" t="s">
        <v>84</v>
      </c>
      <c r="H14" s="9" t="s">
        <v>85</v>
      </c>
      <c r="I14" s="9" t="s">
        <v>86</v>
      </c>
      <c r="J14" s="13">
        <v>3100</v>
      </c>
      <c r="K14" s="13"/>
      <c r="L14" s="13">
        <v>1700</v>
      </c>
      <c r="M14" s="334">
        <f>SUM(J14:L14)</f>
        <v>4800</v>
      </c>
      <c r="N14" s="358">
        <v>0</v>
      </c>
      <c r="Q14"/>
    </row>
    <row r="15" spans="1:17" ht="24" customHeight="1">
      <c r="A15" s="211" t="s">
        <v>97</v>
      </c>
      <c r="B15" s="211" t="s">
        <v>62</v>
      </c>
      <c r="C15" s="8" t="s">
        <v>98</v>
      </c>
      <c r="D15" s="7" t="s">
        <v>99</v>
      </c>
      <c r="E15" s="9">
        <v>46120</v>
      </c>
      <c r="F15" s="9">
        <v>46150</v>
      </c>
      <c r="G15" s="7" t="s">
        <v>100</v>
      </c>
      <c r="H15" s="9" t="s">
        <v>66</v>
      </c>
      <c r="I15" s="9" t="s">
        <v>67</v>
      </c>
      <c r="J15" s="13">
        <v>4200</v>
      </c>
      <c r="K15" s="13"/>
      <c r="L15" s="13" t="s">
        <v>68</v>
      </c>
      <c r="M15" s="334">
        <f>SUM(J15:L15)</f>
        <v>4200</v>
      </c>
      <c r="N15" s="358">
        <v>0</v>
      </c>
      <c r="Q15"/>
    </row>
    <row r="16" spans="1:17" ht="24" customHeight="1">
      <c r="A16" s="211" t="s">
        <v>101</v>
      </c>
      <c r="B16" s="211" t="s">
        <v>62</v>
      </c>
      <c r="C16" s="8" t="s">
        <v>98</v>
      </c>
      <c r="D16" s="7" t="s">
        <v>102</v>
      </c>
      <c r="E16" s="9">
        <v>46120</v>
      </c>
      <c r="F16" s="9">
        <v>46150</v>
      </c>
      <c r="G16" s="7" t="s">
        <v>100</v>
      </c>
      <c r="H16" s="9" t="s">
        <v>66</v>
      </c>
      <c r="I16" s="9" t="s">
        <v>67</v>
      </c>
      <c r="J16" s="13">
        <v>4200</v>
      </c>
      <c r="K16" s="13"/>
      <c r="L16" s="13" t="s">
        <v>68</v>
      </c>
      <c r="M16" s="334">
        <f>SUM(J16:L16)</f>
        <v>4200</v>
      </c>
      <c r="N16" s="358">
        <v>0</v>
      </c>
      <c r="Q16"/>
    </row>
    <row r="17" spans="1:17" ht="24" customHeight="1">
      <c r="A17" s="211" t="s">
        <v>103</v>
      </c>
      <c r="B17" s="211" t="s">
        <v>62</v>
      </c>
      <c r="C17" s="8" t="s">
        <v>91</v>
      </c>
      <c r="D17" s="7" t="s">
        <v>104</v>
      </c>
      <c r="E17" s="9">
        <v>46115</v>
      </c>
      <c r="F17" s="9">
        <v>46153</v>
      </c>
      <c r="G17" s="7" t="s">
        <v>84</v>
      </c>
      <c r="H17" s="9" t="s">
        <v>66</v>
      </c>
      <c r="I17" s="9" t="s">
        <v>105</v>
      </c>
      <c r="J17" s="13">
        <v>3300</v>
      </c>
      <c r="K17" s="13"/>
      <c r="L17" s="13"/>
      <c r="M17" s="334">
        <f>SUM(J17:L17)</f>
        <v>3300</v>
      </c>
      <c r="N17" s="422">
        <v>-1700</v>
      </c>
      <c r="Q17"/>
    </row>
    <row r="18" spans="1:17" ht="24" customHeight="1">
      <c r="A18" s="211" t="s">
        <v>106</v>
      </c>
      <c r="B18" s="211" t="s">
        <v>62</v>
      </c>
      <c r="C18" s="8" t="s">
        <v>98</v>
      </c>
      <c r="D18" s="7" t="s">
        <v>107</v>
      </c>
      <c r="E18" s="9">
        <v>46124</v>
      </c>
      <c r="F18" s="9">
        <v>46154</v>
      </c>
      <c r="G18" s="7" t="s">
        <v>79</v>
      </c>
      <c r="H18" s="9" t="s">
        <v>66</v>
      </c>
      <c r="I18" s="9" t="s">
        <v>67</v>
      </c>
      <c r="J18" s="13">
        <v>4200</v>
      </c>
      <c r="K18" s="13"/>
      <c r="L18" s="13" t="s">
        <v>68</v>
      </c>
      <c r="M18" s="334">
        <f>SUM(J18:L18)</f>
        <v>4200</v>
      </c>
      <c r="N18" s="358">
        <v>0</v>
      </c>
      <c r="Q18"/>
    </row>
    <row r="19" spans="1:17" ht="24" customHeight="1">
      <c r="A19" s="211" t="s">
        <v>108</v>
      </c>
      <c r="B19" s="211" t="s">
        <v>62</v>
      </c>
      <c r="C19" s="8" t="s">
        <v>91</v>
      </c>
      <c r="D19" s="7" t="s">
        <v>109</v>
      </c>
      <c r="E19" s="9">
        <v>46119</v>
      </c>
      <c r="F19" s="9">
        <v>46158</v>
      </c>
      <c r="G19" s="7" t="s">
        <v>84</v>
      </c>
      <c r="H19" s="9" t="s">
        <v>85</v>
      </c>
      <c r="I19" s="9" t="s">
        <v>86</v>
      </c>
      <c r="J19" s="13">
        <v>3100</v>
      </c>
      <c r="K19" s="13"/>
      <c r="L19" s="13">
        <v>1700</v>
      </c>
      <c r="M19" s="334">
        <f>SUM(J19:L19)</f>
        <v>4800</v>
      </c>
      <c r="N19" s="358">
        <v>0</v>
      </c>
      <c r="Q19"/>
    </row>
    <row r="20" spans="1:17" ht="24" customHeight="1">
      <c r="A20" s="211" t="s">
        <v>110</v>
      </c>
      <c r="B20" s="211" t="s">
        <v>62</v>
      </c>
      <c r="C20" s="8" t="s">
        <v>91</v>
      </c>
      <c r="D20" s="7" t="s">
        <v>111</v>
      </c>
      <c r="E20" s="9">
        <v>46119</v>
      </c>
      <c r="F20" s="9">
        <v>46158</v>
      </c>
      <c r="G20" s="7" t="s">
        <v>84</v>
      </c>
      <c r="H20" s="9" t="s">
        <v>85</v>
      </c>
      <c r="I20" s="9" t="s">
        <v>86</v>
      </c>
      <c r="J20" s="13">
        <v>3100</v>
      </c>
      <c r="K20" s="13"/>
      <c r="L20" s="13">
        <v>1700</v>
      </c>
      <c r="M20" s="334">
        <f>SUM(J20:L20)</f>
        <v>4800</v>
      </c>
      <c r="N20" s="358">
        <v>0</v>
      </c>
      <c r="Q20"/>
    </row>
    <row r="21" spans="1:17" ht="24" customHeight="1">
      <c r="A21" s="211" t="s">
        <v>112</v>
      </c>
      <c r="B21" s="211" t="s">
        <v>62</v>
      </c>
      <c r="C21" s="8" t="s">
        <v>91</v>
      </c>
      <c r="D21" s="7" t="s">
        <v>113</v>
      </c>
      <c r="E21" s="9">
        <v>46119</v>
      </c>
      <c r="F21" s="9">
        <v>46158</v>
      </c>
      <c r="G21" s="7" t="s">
        <v>84</v>
      </c>
      <c r="H21" s="9" t="s">
        <v>85</v>
      </c>
      <c r="I21" s="9" t="s">
        <v>86</v>
      </c>
      <c r="J21" s="13">
        <v>3100</v>
      </c>
      <c r="K21" s="13"/>
      <c r="L21" s="13">
        <v>1700</v>
      </c>
      <c r="M21" s="334">
        <f>SUM(J21:L21)</f>
        <v>4800</v>
      </c>
      <c r="N21" s="358">
        <v>0</v>
      </c>
      <c r="Q21"/>
    </row>
    <row r="22" spans="1:17" ht="24" customHeight="1">
      <c r="A22" s="211" t="s">
        <v>114</v>
      </c>
      <c r="B22" s="211" t="s">
        <v>62</v>
      </c>
      <c r="C22" s="8" t="s">
        <v>91</v>
      </c>
      <c r="D22" s="7" t="s">
        <v>115</v>
      </c>
      <c r="E22" s="9">
        <v>46119</v>
      </c>
      <c r="F22" s="9">
        <v>46158</v>
      </c>
      <c r="G22" s="7" t="s">
        <v>84</v>
      </c>
      <c r="H22" s="9" t="s">
        <v>85</v>
      </c>
      <c r="I22" s="9" t="s">
        <v>86</v>
      </c>
      <c r="J22" s="13">
        <v>3100</v>
      </c>
      <c r="K22" s="13"/>
      <c r="L22" s="13">
        <v>1700</v>
      </c>
      <c r="M22" s="334">
        <f>SUM(J22:L22)</f>
        <v>4800</v>
      </c>
      <c r="N22" s="358">
        <v>0</v>
      </c>
      <c r="Q22"/>
    </row>
    <row r="23" spans="1:17" ht="24" customHeight="1">
      <c r="A23" s="211" t="s">
        <v>116</v>
      </c>
      <c r="B23" s="211" t="s">
        <v>62</v>
      </c>
      <c r="C23" s="8" t="s">
        <v>63</v>
      </c>
      <c r="D23" s="7" t="s">
        <v>117</v>
      </c>
      <c r="E23" s="9">
        <v>46129</v>
      </c>
      <c r="F23" s="9">
        <v>46159</v>
      </c>
      <c r="G23" s="7" t="s">
        <v>84</v>
      </c>
      <c r="H23" s="9" t="s">
        <v>66</v>
      </c>
      <c r="I23" s="9" t="s">
        <v>105</v>
      </c>
      <c r="J23" s="13">
        <f>2950+200</f>
        <v>3150</v>
      </c>
      <c r="K23" s="13"/>
      <c r="L23" s="13">
        <v>0</v>
      </c>
      <c r="M23" s="334">
        <f>SUM(J23:L23)</f>
        <v>3150</v>
      </c>
      <c r="N23" s="358">
        <v>0</v>
      </c>
      <c r="Q23"/>
    </row>
    <row r="24" spans="1:17" ht="24" customHeight="1">
      <c r="A24" s="211" t="s">
        <v>118</v>
      </c>
      <c r="B24" s="211" t="s">
        <v>62</v>
      </c>
      <c r="C24" s="8" t="s">
        <v>91</v>
      </c>
      <c r="D24" s="7" t="s">
        <v>119</v>
      </c>
      <c r="E24" s="9">
        <v>46122</v>
      </c>
      <c r="F24" s="9">
        <v>46160</v>
      </c>
      <c r="G24" s="7" t="s">
        <v>84</v>
      </c>
      <c r="H24" s="9" t="s">
        <v>66</v>
      </c>
      <c r="I24" s="9" t="s">
        <v>86</v>
      </c>
      <c r="J24" s="13">
        <v>3100</v>
      </c>
      <c r="K24" s="13"/>
      <c r="L24" s="13">
        <v>1700</v>
      </c>
      <c r="M24" s="334">
        <f>SUM(J24:L24)</f>
        <v>4800</v>
      </c>
      <c r="N24" s="358">
        <v>0</v>
      </c>
      <c r="Q24"/>
    </row>
    <row r="25" spans="1:17" ht="24" customHeight="1">
      <c r="A25" s="211" t="s">
        <v>120</v>
      </c>
      <c r="B25" s="211" t="s">
        <v>62</v>
      </c>
      <c r="C25" s="8" t="s">
        <v>63</v>
      </c>
      <c r="D25" s="7" t="s">
        <v>121</v>
      </c>
      <c r="E25" s="9">
        <v>46138</v>
      </c>
      <c r="F25" s="9">
        <v>46168</v>
      </c>
      <c r="G25" s="7" t="s">
        <v>79</v>
      </c>
      <c r="H25" s="9" t="s">
        <v>66</v>
      </c>
      <c r="I25" s="9" t="s">
        <v>122</v>
      </c>
      <c r="J25" s="13">
        <v>4450</v>
      </c>
      <c r="K25" s="13"/>
      <c r="L25" s="13">
        <v>0</v>
      </c>
      <c r="M25" s="334">
        <f>SUM(J25:L25)</f>
        <v>4450</v>
      </c>
      <c r="N25" s="358">
        <v>0</v>
      </c>
      <c r="Q25"/>
    </row>
    <row r="26" spans="1:17" ht="24" customHeight="1">
      <c r="A26" s="211" t="s">
        <v>123</v>
      </c>
      <c r="B26" s="211" t="s">
        <v>62</v>
      </c>
      <c r="C26" s="8" t="s">
        <v>63</v>
      </c>
      <c r="D26" s="7" t="s">
        <v>124</v>
      </c>
      <c r="E26" s="9">
        <v>46147</v>
      </c>
      <c r="F26" s="9">
        <v>46175</v>
      </c>
      <c r="G26" s="7" t="s">
        <v>79</v>
      </c>
      <c r="H26" s="9" t="s">
        <v>66</v>
      </c>
      <c r="I26" s="9" t="s">
        <v>122</v>
      </c>
      <c r="J26" s="13">
        <v>4430</v>
      </c>
      <c r="K26" s="13"/>
      <c r="L26" s="13">
        <v>0</v>
      </c>
      <c r="M26" s="334">
        <f>SUM(J26:L26)</f>
        <v>4430</v>
      </c>
      <c r="N26" s="358">
        <v>0</v>
      </c>
      <c r="Q26"/>
    </row>
    <row r="27" spans="1:17" ht="24" customHeight="1">
      <c r="A27" s="211" t="s">
        <v>125</v>
      </c>
      <c r="B27" s="211" t="s">
        <v>62</v>
      </c>
      <c r="C27" s="8" t="s">
        <v>98</v>
      </c>
      <c r="D27" s="7" t="s">
        <v>126</v>
      </c>
      <c r="E27" s="9">
        <v>46147</v>
      </c>
      <c r="F27" s="9">
        <v>46175</v>
      </c>
      <c r="G27" s="7" t="s">
        <v>79</v>
      </c>
      <c r="H27" s="9" t="s">
        <v>66</v>
      </c>
      <c r="I27" s="9" t="s">
        <v>122</v>
      </c>
      <c r="J27" s="13">
        <v>4430</v>
      </c>
      <c r="K27" s="13"/>
      <c r="L27" s="13">
        <v>0</v>
      </c>
      <c r="M27" s="334">
        <f>SUM(J27:L27)</f>
        <v>4430</v>
      </c>
      <c r="N27" s="358">
        <v>0</v>
      </c>
      <c r="Q27"/>
    </row>
    <row r="28" spans="1:17" ht="24" customHeight="1">
      <c r="A28" s="211" t="s">
        <v>127</v>
      </c>
      <c r="B28" s="211" t="s">
        <v>62</v>
      </c>
      <c r="C28" s="8" t="s">
        <v>63</v>
      </c>
      <c r="D28" s="7" t="s">
        <v>128</v>
      </c>
      <c r="E28" s="9">
        <v>46143</v>
      </c>
      <c r="F28" s="9">
        <v>46178</v>
      </c>
      <c r="G28" s="7" t="s">
        <v>89</v>
      </c>
      <c r="H28" s="9" t="s">
        <v>66</v>
      </c>
      <c r="I28" s="9" t="s">
        <v>86</v>
      </c>
      <c r="J28" s="13">
        <v>3100</v>
      </c>
      <c r="K28" s="13"/>
      <c r="L28" s="13">
        <v>1850</v>
      </c>
      <c r="M28" s="334">
        <f>SUM(J28:L28)</f>
        <v>4950</v>
      </c>
      <c r="N28" s="358">
        <v>0</v>
      </c>
      <c r="Q28"/>
    </row>
    <row r="29" spans="1:17" ht="24" customHeight="1">
      <c r="A29" s="211" t="s">
        <v>129</v>
      </c>
      <c r="B29" s="211" t="s">
        <v>62</v>
      </c>
      <c r="C29" s="8" t="s">
        <v>63</v>
      </c>
      <c r="D29" s="7" t="s">
        <v>130</v>
      </c>
      <c r="E29" s="9">
        <v>46143</v>
      </c>
      <c r="F29" s="9">
        <v>46180</v>
      </c>
      <c r="G29" s="7" t="s">
        <v>89</v>
      </c>
      <c r="H29" s="9" t="s">
        <v>66</v>
      </c>
      <c r="I29" s="9" t="s">
        <v>86</v>
      </c>
      <c r="J29" s="13">
        <v>3100</v>
      </c>
      <c r="K29" s="13"/>
      <c r="L29" s="13">
        <v>1850</v>
      </c>
      <c r="M29" s="334">
        <f>SUM(J29:L29)</f>
        <v>4950</v>
      </c>
      <c r="N29" s="358">
        <v>0</v>
      </c>
      <c r="Q29"/>
    </row>
    <row r="30" spans="1:17" ht="24" customHeight="1">
      <c r="A30" s="211" t="s">
        <v>131</v>
      </c>
      <c r="B30" s="211" t="s">
        <v>62</v>
      </c>
      <c r="C30" s="8" t="s">
        <v>63</v>
      </c>
      <c r="D30" s="7" t="s">
        <v>132</v>
      </c>
      <c r="E30" s="9">
        <v>46146</v>
      </c>
      <c r="F30" s="9">
        <v>46185</v>
      </c>
      <c r="G30" s="7" t="s">
        <v>89</v>
      </c>
      <c r="H30" s="9" t="s">
        <v>66</v>
      </c>
      <c r="I30" s="9" t="s">
        <v>86</v>
      </c>
      <c r="J30" s="13">
        <v>3100</v>
      </c>
      <c r="K30" s="13"/>
      <c r="L30" s="13">
        <v>1850</v>
      </c>
      <c r="M30" s="334">
        <f>SUM(J30:L30)</f>
        <v>4950</v>
      </c>
      <c r="N30" s="358">
        <v>0</v>
      </c>
      <c r="Q30"/>
    </row>
    <row r="31" spans="1:17" ht="24" customHeight="1">
      <c r="A31" s="211" t="s">
        <v>133</v>
      </c>
      <c r="B31" s="211" t="s">
        <v>62</v>
      </c>
      <c r="C31" s="8" t="s">
        <v>63</v>
      </c>
      <c r="D31" s="7" t="s">
        <v>134</v>
      </c>
      <c r="E31" s="9">
        <v>46150</v>
      </c>
      <c r="F31" s="9">
        <v>46188</v>
      </c>
      <c r="G31" s="7" t="s">
        <v>84</v>
      </c>
      <c r="H31" s="9" t="s">
        <v>66</v>
      </c>
      <c r="I31" s="9" t="s">
        <v>86</v>
      </c>
      <c r="J31" s="13">
        <v>3000</v>
      </c>
      <c r="K31" s="13"/>
      <c r="L31" s="13">
        <v>1700</v>
      </c>
      <c r="M31" s="334">
        <f>SUM(J31:L31)</f>
        <v>4700</v>
      </c>
      <c r="N31" s="358">
        <v>0</v>
      </c>
      <c r="Q31"/>
    </row>
    <row r="32" spans="1:17" ht="24" customHeight="1">
      <c r="A32" s="211" t="s">
        <v>135</v>
      </c>
      <c r="B32" s="211" t="s">
        <v>62</v>
      </c>
      <c r="C32" s="8" t="s">
        <v>63</v>
      </c>
      <c r="D32" s="7" t="s">
        <v>136</v>
      </c>
      <c r="E32" s="9">
        <v>46162</v>
      </c>
      <c r="F32" s="9">
        <v>46192</v>
      </c>
      <c r="G32" s="7" t="s">
        <v>100</v>
      </c>
      <c r="H32" s="9" t="s">
        <v>66</v>
      </c>
      <c r="I32" s="9" t="s">
        <v>122</v>
      </c>
      <c r="J32" s="13">
        <v>5280</v>
      </c>
      <c r="K32" s="13"/>
      <c r="L32" s="13">
        <v>0</v>
      </c>
      <c r="M32" s="334">
        <f>SUM(J32:L32)</f>
        <v>5280</v>
      </c>
      <c r="N32" s="358">
        <v>0</v>
      </c>
      <c r="Q32"/>
    </row>
    <row r="33" spans="1:17" ht="24" customHeight="1">
      <c r="A33" s="211" t="s">
        <v>137</v>
      </c>
      <c r="B33" s="211" t="s">
        <v>62</v>
      </c>
      <c r="C33" s="8" t="s">
        <v>63</v>
      </c>
      <c r="D33" s="7" t="s">
        <v>138</v>
      </c>
      <c r="E33" s="9">
        <v>46154</v>
      </c>
      <c r="F33" s="9">
        <v>46193</v>
      </c>
      <c r="G33" s="7" t="s">
        <v>84</v>
      </c>
      <c r="H33" s="9" t="s">
        <v>85</v>
      </c>
      <c r="I33" s="9" t="s">
        <v>86</v>
      </c>
      <c r="J33" s="13">
        <v>3050</v>
      </c>
      <c r="K33" s="13"/>
      <c r="L33" s="13">
        <v>1700</v>
      </c>
      <c r="M33" s="334">
        <f>SUM(J33:L33)</f>
        <v>4750</v>
      </c>
      <c r="N33" s="358">
        <v>0</v>
      </c>
      <c r="Q33"/>
    </row>
    <row r="34" spans="1:17" ht="24" customHeight="1">
      <c r="A34" s="211" t="s">
        <v>139</v>
      </c>
      <c r="B34" s="211" t="s">
        <v>62</v>
      </c>
      <c r="C34" s="8" t="s">
        <v>63</v>
      </c>
      <c r="D34" s="7" t="s">
        <v>140</v>
      </c>
      <c r="E34" s="9">
        <v>46154</v>
      </c>
      <c r="F34" s="9">
        <v>46193</v>
      </c>
      <c r="G34" s="7" t="s">
        <v>84</v>
      </c>
      <c r="H34" s="9" t="s">
        <v>85</v>
      </c>
      <c r="I34" s="9" t="s">
        <v>86</v>
      </c>
      <c r="J34" s="13">
        <v>3050</v>
      </c>
      <c r="K34" s="13"/>
      <c r="L34" s="13">
        <v>1700</v>
      </c>
      <c r="M34" s="334">
        <f>SUM(J34:L34)</f>
        <v>4750</v>
      </c>
      <c r="N34" s="358">
        <v>0</v>
      </c>
      <c r="Q34"/>
    </row>
    <row r="35" spans="1:17" ht="24" customHeight="1">
      <c r="A35" s="211" t="s">
        <v>141</v>
      </c>
      <c r="B35" s="211" t="s">
        <v>62</v>
      </c>
      <c r="C35" s="8" t="s">
        <v>63</v>
      </c>
      <c r="D35" s="7" t="s">
        <v>142</v>
      </c>
      <c r="E35" s="9">
        <v>46154</v>
      </c>
      <c r="F35" s="9">
        <v>46193</v>
      </c>
      <c r="G35" s="7" t="s">
        <v>84</v>
      </c>
      <c r="H35" s="9" t="s">
        <v>85</v>
      </c>
      <c r="I35" s="9" t="s">
        <v>86</v>
      </c>
      <c r="J35" s="13">
        <v>3050</v>
      </c>
      <c r="K35" s="13"/>
      <c r="L35" s="13">
        <v>1700</v>
      </c>
      <c r="M35" s="334">
        <f>SUM(J35:L35)</f>
        <v>4750</v>
      </c>
      <c r="N35" s="358">
        <v>0</v>
      </c>
      <c r="Q35"/>
    </row>
    <row r="36" spans="1:17" ht="24" customHeight="1">
      <c r="A36" s="211" t="s">
        <v>143</v>
      </c>
      <c r="B36" s="211" t="s">
        <v>62</v>
      </c>
      <c r="C36" s="8" t="s">
        <v>63</v>
      </c>
      <c r="D36" s="7" t="s">
        <v>144</v>
      </c>
      <c r="E36" s="9">
        <v>46154</v>
      </c>
      <c r="F36" s="9">
        <v>46193</v>
      </c>
      <c r="G36" s="7" t="s">
        <v>84</v>
      </c>
      <c r="H36" s="9" t="s">
        <v>85</v>
      </c>
      <c r="I36" s="9" t="s">
        <v>86</v>
      </c>
      <c r="J36" s="13">
        <v>3050</v>
      </c>
      <c r="K36" s="13"/>
      <c r="L36" s="13">
        <v>1700</v>
      </c>
      <c r="M36" s="334">
        <f>SUM(J36:L36)</f>
        <v>4750</v>
      </c>
      <c r="N36" s="358">
        <v>0</v>
      </c>
      <c r="Q36"/>
    </row>
    <row r="37" spans="1:17" ht="24" customHeight="1">
      <c r="A37" s="211" t="s">
        <v>145</v>
      </c>
      <c r="B37" s="211" t="s">
        <v>62</v>
      </c>
      <c r="C37" s="8" t="s">
        <v>63</v>
      </c>
      <c r="D37" s="7" t="s">
        <v>146</v>
      </c>
      <c r="E37" s="9">
        <v>46158</v>
      </c>
      <c r="F37" s="9">
        <v>46196</v>
      </c>
      <c r="G37" s="7" t="s">
        <v>84</v>
      </c>
      <c r="H37" s="9" t="s">
        <v>66</v>
      </c>
      <c r="I37" s="9" t="s">
        <v>86</v>
      </c>
      <c r="J37" s="13">
        <v>3300</v>
      </c>
      <c r="K37" s="13"/>
      <c r="L37" s="13">
        <v>1700</v>
      </c>
      <c r="M37" s="334">
        <f>SUM(J37:L37)</f>
        <v>5000</v>
      </c>
      <c r="N37" s="358">
        <v>0</v>
      </c>
      <c r="Q37"/>
    </row>
    <row r="38" spans="1:17" ht="24" customHeight="1">
      <c r="A38" s="211" t="s">
        <v>147</v>
      </c>
      <c r="B38" s="211" t="s">
        <v>62</v>
      </c>
      <c r="C38" s="8" t="s">
        <v>63</v>
      </c>
      <c r="D38" s="7" t="s">
        <v>148</v>
      </c>
      <c r="E38" s="9">
        <v>46161</v>
      </c>
      <c r="F38" s="9">
        <v>46199</v>
      </c>
      <c r="G38" s="7" t="s">
        <v>149</v>
      </c>
      <c r="H38" s="9" t="s">
        <v>66</v>
      </c>
      <c r="I38" s="9" t="s">
        <v>86</v>
      </c>
      <c r="J38" s="13">
        <v>4350</v>
      </c>
      <c r="K38" s="13"/>
      <c r="L38" s="13">
        <v>1700</v>
      </c>
      <c r="M38" s="334">
        <f>SUM(J38:L38)</f>
        <v>6050</v>
      </c>
      <c r="N38" s="358">
        <v>0</v>
      </c>
      <c r="Q38"/>
    </row>
    <row r="39" spans="1:17" ht="24" customHeight="1">
      <c r="A39" s="211" t="s">
        <v>150</v>
      </c>
      <c r="B39" s="211" t="s">
        <v>62</v>
      </c>
      <c r="C39" s="8" t="s">
        <v>63</v>
      </c>
      <c r="D39" s="7" t="s">
        <v>151</v>
      </c>
      <c r="E39" s="9">
        <v>46161</v>
      </c>
      <c r="F39" s="9">
        <v>46199</v>
      </c>
      <c r="G39" s="7" t="s">
        <v>149</v>
      </c>
      <c r="H39" s="9" t="s">
        <v>66</v>
      </c>
      <c r="I39" s="9" t="s">
        <v>86</v>
      </c>
      <c r="J39" s="13">
        <v>4350</v>
      </c>
      <c r="K39" s="13"/>
      <c r="L39" s="13">
        <v>1700</v>
      </c>
      <c r="M39" s="334">
        <f>SUM(J39:L39)</f>
        <v>6050</v>
      </c>
      <c r="N39" s="358">
        <v>0</v>
      </c>
      <c r="Q39"/>
    </row>
    <row r="40" spans="1:17" ht="24" customHeight="1">
      <c r="A40" s="211" t="s">
        <v>152</v>
      </c>
      <c r="B40" s="211" t="s">
        <v>62</v>
      </c>
      <c r="C40" s="8" t="s">
        <v>63</v>
      </c>
      <c r="D40" s="7" t="s">
        <v>153</v>
      </c>
      <c r="E40" s="9">
        <v>46161</v>
      </c>
      <c r="F40" s="9">
        <v>46199</v>
      </c>
      <c r="G40" s="7" t="s">
        <v>149</v>
      </c>
      <c r="H40" s="9" t="s">
        <v>66</v>
      </c>
      <c r="I40" s="9" t="s">
        <v>86</v>
      </c>
      <c r="J40" s="13">
        <v>4350</v>
      </c>
      <c r="K40" s="13"/>
      <c r="L40" s="13">
        <v>1700</v>
      </c>
      <c r="M40" s="334">
        <f>SUM(J40:L40)</f>
        <v>6050</v>
      </c>
      <c r="N40" s="358">
        <v>0</v>
      </c>
      <c r="Q40"/>
    </row>
    <row r="41" spans="1:17" ht="24" customHeight="1">
      <c r="A41" s="211" t="s">
        <v>154</v>
      </c>
      <c r="B41" s="211" t="s">
        <v>62</v>
      </c>
      <c r="C41" s="8" t="s">
        <v>63</v>
      </c>
      <c r="D41" s="7" t="s">
        <v>155</v>
      </c>
      <c r="E41" s="9">
        <v>46161</v>
      </c>
      <c r="F41" s="9">
        <v>46199</v>
      </c>
      <c r="G41" s="7" t="s">
        <v>149</v>
      </c>
      <c r="H41" s="9" t="s">
        <v>66</v>
      </c>
      <c r="I41" s="9" t="s">
        <v>86</v>
      </c>
      <c r="J41" s="13">
        <v>4350</v>
      </c>
      <c r="K41" s="13"/>
      <c r="L41" s="13">
        <v>1700</v>
      </c>
      <c r="M41" s="334">
        <f>SUM(J41:L41)</f>
        <v>6050</v>
      </c>
      <c r="N41" s="358">
        <v>0</v>
      </c>
      <c r="O41" s="419" t="s">
        <v>156</v>
      </c>
      <c r="Q41"/>
    </row>
    <row r="42" spans="1:17" ht="24" customHeight="1">
      <c r="A42" s="211" t="s">
        <v>157</v>
      </c>
      <c r="B42" s="211" t="s">
        <v>62</v>
      </c>
      <c r="C42" s="8" t="s">
        <v>63</v>
      </c>
      <c r="D42" s="7" t="s">
        <v>158</v>
      </c>
      <c r="E42" s="9">
        <v>46168</v>
      </c>
      <c r="F42" s="9">
        <v>46199</v>
      </c>
      <c r="G42" s="7" t="s">
        <v>79</v>
      </c>
      <c r="H42" s="9" t="s">
        <v>85</v>
      </c>
      <c r="I42" s="9" t="s">
        <v>122</v>
      </c>
      <c r="J42" s="13">
        <v>4780</v>
      </c>
      <c r="K42" s="13"/>
      <c r="L42" s="13">
        <v>0</v>
      </c>
      <c r="M42" s="334">
        <f>SUM(J42:L42)</f>
        <v>4780</v>
      </c>
      <c r="N42" s="358">
        <v>0</v>
      </c>
      <c r="Q42"/>
    </row>
    <row r="43" spans="1:17" ht="24" customHeight="1">
      <c r="A43" s="211" t="s">
        <v>159</v>
      </c>
      <c r="B43" s="211" t="s">
        <v>62</v>
      </c>
      <c r="C43" s="8" t="s">
        <v>63</v>
      </c>
      <c r="D43" s="7" t="s">
        <v>160</v>
      </c>
      <c r="E43" s="9">
        <v>46169</v>
      </c>
      <c r="F43" s="9">
        <v>46201</v>
      </c>
      <c r="G43" s="7" t="s">
        <v>149</v>
      </c>
      <c r="H43" s="9" t="s">
        <v>66</v>
      </c>
      <c r="I43" s="9" t="s">
        <v>86</v>
      </c>
      <c r="J43" s="13">
        <v>4500</v>
      </c>
      <c r="K43" s="13"/>
      <c r="L43" s="13">
        <v>1700</v>
      </c>
      <c r="M43" s="334">
        <f>SUM(J43:L43)</f>
        <v>6200</v>
      </c>
      <c r="N43" s="358">
        <v>0</v>
      </c>
      <c r="Q43"/>
    </row>
    <row r="44" spans="1:17" ht="24" customHeight="1">
      <c r="A44" s="211" t="s">
        <v>161</v>
      </c>
      <c r="B44" s="211" t="s">
        <v>62</v>
      </c>
      <c r="C44" s="8" t="s">
        <v>63</v>
      </c>
      <c r="D44" s="7" t="s">
        <v>162</v>
      </c>
      <c r="E44" s="9">
        <v>46173</v>
      </c>
      <c r="F44" s="9">
        <v>46203</v>
      </c>
      <c r="G44" s="7" t="s">
        <v>79</v>
      </c>
      <c r="H44" s="9" t="s">
        <v>66</v>
      </c>
      <c r="I44" s="9" t="s">
        <v>122</v>
      </c>
      <c r="J44" s="13">
        <v>4980</v>
      </c>
      <c r="K44" s="13"/>
      <c r="L44" s="13">
        <v>0</v>
      </c>
      <c r="M44" s="334">
        <f>SUM(J44:L44)</f>
        <v>4980</v>
      </c>
      <c r="N44" s="358">
        <v>0</v>
      </c>
      <c r="Q44"/>
    </row>
    <row r="45" spans="1:17" ht="24" customHeight="1">
      <c r="A45" s="106" t="s">
        <v>163</v>
      </c>
      <c r="B45" s="106" t="s">
        <v>62</v>
      </c>
      <c r="C45" s="33" t="s">
        <v>63</v>
      </c>
      <c r="D45" s="32" t="s">
        <v>164</v>
      </c>
      <c r="E45" s="34">
        <v>46134</v>
      </c>
      <c r="F45" s="34">
        <v>46209</v>
      </c>
      <c r="G45" s="32" t="s">
        <v>65</v>
      </c>
      <c r="H45" s="34" t="s">
        <v>66</v>
      </c>
      <c r="I45" s="34" t="s">
        <v>86</v>
      </c>
      <c r="J45" s="113">
        <v>3050</v>
      </c>
      <c r="K45" s="113"/>
      <c r="L45" s="113">
        <v>1700</v>
      </c>
      <c r="M45" s="335">
        <f>SUM(J45:L45)</f>
        <v>4750</v>
      </c>
      <c r="N45" s="359">
        <f>M45</f>
        <v>4750</v>
      </c>
      <c r="Q45"/>
    </row>
    <row r="46" spans="1:17" ht="24" customHeight="1">
      <c r="A46" s="106" t="s">
        <v>165</v>
      </c>
      <c r="B46" s="106" t="s">
        <v>62</v>
      </c>
      <c r="C46" s="33" t="s">
        <v>63</v>
      </c>
      <c r="D46" s="32" t="s">
        <v>166</v>
      </c>
      <c r="E46" s="34">
        <v>46134</v>
      </c>
      <c r="F46" s="34">
        <v>46209</v>
      </c>
      <c r="G46" s="32" t="s">
        <v>65</v>
      </c>
      <c r="H46" s="34" t="s">
        <v>66</v>
      </c>
      <c r="I46" s="34" t="s">
        <v>86</v>
      </c>
      <c r="J46" s="113">
        <v>3050</v>
      </c>
      <c r="K46" s="113"/>
      <c r="L46" s="113">
        <v>1700</v>
      </c>
      <c r="M46" s="335">
        <f>SUM(J46:L46)</f>
        <v>4750</v>
      </c>
      <c r="N46" s="359">
        <f>M46</f>
        <v>4750</v>
      </c>
      <c r="Q46"/>
    </row>
    <row r="47" spans="1:17" ht="24" customHeight="1">
      <c r="A47" s="106" t="s">
        <v>167</v>
      </c>
      <c r="B47" s="106" t="s">
        <v>62</v>
      </c>
      <c r="C47" s="33" t="s">
        <v>63</v>
      </c>
      <c r="D47" s="32" t="s">
        <v>168</v>
      </c>
      <c r="E47" s="34">
        <v>46136</v>
      </c>
      <c r="F47" s="34">
        <v>46209</v>
      </c>
      <c r="G47" s="32" t="s">
        <v>65</v>
      </c>
      <c r="H47" s="34" t="s">
        <v>85</v>
      </c>
      <c r="I47" s="34" t="s">
        <v>86</v>
      </c>
      <c r="J47" s="113">
        <v>3050</v>
      </c>
      <c r="K47" s="113"/>
      <c r="L47" s="113">
        <v>1700</v>
      </c>
      <c r="M47" s="335">
        <f>SUM(J47:L47)</f>
        <v>4750</v>
      </c>
      <c r="N47" s="359">
        <f>M47</f>
        <v>4750</v>
      </c>
      <c r="Q47"/>
    </row>
    <row r="48" spans="1:17" ht="24" customHeight="1">
      <c r="A48" s="218" t="s">
        <v>169</v>
      </c>
      <c r="B48" s="218" t="s">
        <v>62</v>
      </c>
      <c r="C48" s="16" t="s">
        <v>63</v>
      </c>
      <c r="D48" s="15" t="s">
        <v>170</v>
      </c>
      <c r="E48" s="17">
        <v>46134</v>
      </c>
      <c r="F48" s="17">
        <v>46209</v>
      </c>
      <c r="G48" s="15" t="s">
        <v>65</v>
      </c>
      <c r="H48" s="17" t="s">
        <v>66</v>
      </c>
      <c r="I48" s="17" t="s">
        <v>86</v>
      </c>
      <c r="J48" s="21">
        <v>3050</v>
      </c>
      <c r="K48" s="21"/>
      <c r="L48" s="21">
        <v>1700</v>
      </c>
      <c r="M48" s="336">
        <f>SUM(J48:L48)</f>
        <v>4750</v>
      </c>
      <c r="N48" s="359">
        <f>M48</f>
        <v>4750</v>
      </c>
      <c r="Q48"/>
    </row>
    <row r="49" spans="1:17" ht="24" customHeight="1">
      <c r="A49" s="218" t="s">
        <v>171</v>
      </c>
      <c r="B49" s="218" t="s">
        <v>62</v>
      </c>
      <c r="C49" s="16" t="s">
        <v>63</v>
      </c>
      <c r="D49" s="15" t="s">
        <v>172</v>
      </c>
      <c r="E49" s="17">
        <v>46183</v>
      </c>
      <c r="F49" s="17">
        <v>46213</v>
      </c>
      <c r="G49" s="15" t="s">
        <v>100</v>
      </c>
      <c r="H49" s="17" t="s">
        <v>66</v>
      </c>
      <c r="I49" s="17" t="s">
        <v>122</v>
      </c>
      <c r="J49" s="21">
        <v>6980</v>
      </c>
      <c r="K49" s="21"/>
      <c r="L49" s="21">
        <v>0</v>
      </c>
      <c r="M49" s="336">
        <f>SUM(J49:L49)</f>
        <v>6980</v>
      </c>
      <c r="N49" s="359">
        <f>M49</f>
        <v>6980</v>
      </c>
      <c r="Q49"/>
    </row>
    <row r="50" spans="1:17" ht="24" customHeight="1">
      <c r="A50" s="218" t="s">
        <v>173</v>
      </c>
      <c r="B50" s="218" t="s">
        <v>62</v>
      </c>
      <c r="C50" s="16" t="s">
        <v>63</v>
      </c>
      <c r="D50" s="15" t="s">
        <v>174</v>
      </c>
      <c r="E50" s="17">
        <v>46177</v>
      </c>
      <c r="F50" s="17">
        <v>46214</v>
      </c>
      <c r="G50" s="15" t="s">
        <v>65</v>
      </c>
      <c r="H50" s="17" t="s">
        <v>85</v>
      </c>
      <c r="I50" s="17" t="s">
        <v>86</v>
      </c>
      <c r="J50" s="21">
        <v>5350</v>
      </c>
      <c r="K50" s="21"/>
      <c r="L50" s="21">
        <v>1700</v>
      </c>
      <c r="M50" s="336">
        <f>SUM(J50:L50)</f>
        <v>7050</v>
      </c>
      <c r="N50" s="359">
        <f>M50</f>
        <v>7050</v>
      </c>
      <c r="Q50"/>
    </row>
    <row r="51" spans="1:17" ht="24" customHeight="1">
      <c r="A51" s="218" t="s">
        <v>175</v>
      </c>
      <c r="B51" s="218" t="s">
        <v>62</v>
      </c>
      <c r="C51" s="16" t="s">
        <v>63</v>
      </c>
      <c r="D51" s="15" t="s">
        <v>176</v>
      </c>
      <c r="E51" s="17">
        <v>46184</v>
      </c>
      <c r="F51" s="17">
        <v>46216</v>
      </c>
      <c r="G51" s="15" t="s">
        <v>84</v>
      </c>
      <c r="H51" s="17" t="s">
        <v>66</v>
      </c>
      <c r="I51" s="17" t="s">
        <v>86</v>
      </c>
      <c r="J51" s="21">
        <v>6250</v>
      </c>
      <c r="K51" s="21"/>
      <c r="L51" s="21">
        <v>1700</v>
      </c>
      <c r="M51" s="336">
        <f>SUM(J51:L51)</f>
        <v>7950</v>
      </c>
      <c r="N51" s="359">
        <f>M51</f>
        <v>7950</v>
      </c>
      <c r="Q51"/>
    </row>
    <row r="52" spans="1:17" ht="24" customHeight="1">
      <c r="A52" s="218" t="s">
        <v>177</v>
      </c>
      <c r="B52" s="218" t="s">
        <v>62</v>
      </c>
      <c r="C52" s="16" t="s">
        <v>63</v>
      </c>
      <c r="D52" s="15" t="s">
        <v>178</v>
      </c>
      <c r="E52" s="17">
        <v>46183</v>
      </c>
      <c r="F52" s="17">
        <v>46216</v>
      </c>
      <c r="G52" s="15" t="s">
        <v>89</v>
      </c>
      <c r="H52" s="17" t="s">
        <v>85</v>
      </c>
      <c r="I52" s="17" t="s">
        <v>86</v>
      </c>
      <c r="J52" s="21">
        <v>6200</v>
      </c>
      <c r="K52" s="21"/>
      <c r="L52" s="21">
        <v>1700</v>
      </c>
      <c r="M52" s="336">
        <f>SUM(J52:L52)</f>
        <v>7900</v>
      </c>
      <c r="N52" s="359">
        <f>M52</f>
        <v>7900</v>
      </c>
      <c r="Q52"/>
    </row>
    <row r="53" spans="1:17" s="476" customFormat="1" ht="24" customHeight="1">
      <c r="A53" s="468" t="s">
        <v>179</v>
      </c>
      <c r="B53" s="468" t="s">
        <v>62</v>
      </c>
      <c r="C53" s="469" t="s">
        <v>63</v>
      </c>
      <c r="D53" s="470" t="s">
        <v>180</v>
      </c>
      <c r="E53" s="471">
        <v>46184</v>
      </c>
      <c r="F53" s="471">
        <v>46217</v>
      </c>
      <c r="G53" s="470" t="s">
        <v>84</v>
      </c>
      <c r="H53" s="471" t="s">
        <v>66</v>
      </c>
      <c r="I53" s="471" t="s">
        <v>181</v>
      </c>
      <c r="J53" s="472">
        <v>6250</v>
      </c>
      <c r="K53" s="472">
        <v>250</v>
      </c>
      <c r="L53" s="472">
        <v>2500</v>
      </c>
      <c r="M53" s="473">
        <f>SUM(J53:L53)</f>
        <v>9000</v>
      </c>
      <c r="N53" s="474">
        <f>M53</f>
        <v>9000</v>
      </c>
      <c r="O53" s="475" t="s">
        <v>182</v>
      </c>
    </row>
    <row r="54" spans="1:17" ht="24" customHeight="1">
      <c r="A54" s="218" t="s">
        <v>183</v>
      </c>
      <c r="B54" s="218" t="s">
        <v>62</v>
      </c>
      <c r="C54" s="16" t="s">
        <v>63</v>
      </c>
      <c r="D54" s="15" t="s">
        <v>184</v>
      </c>
      <c r="E54" s="17">
        <v>46182</v>
      </c>
      <c r="F54" s="17">
        <v>46220</v>
      </c>
      <c r="G54" s="15" t="s">
        <v>149</v>
      </c>
      <c r="H54" s="17" t="s">
        <v>66</v>
      </c>
      <c r="I54" s="17" t="s">
        <v>86</v>
      </c>
      <c r="J54" s="21">
        <v>6100</v>
      </c>
      <c r="K54" s="21"/>
      <c r="L54" s="21">
        <v>1700</v>
      </c>
      <c r="M54" s="336">
        <f>SUM(J54:L54)</f>
        <v>7800</v>
      </c>
      <c r="N54" s="359">
        <f>M54</f>
        <v>7800</v>
      </c>
      <c r="Q54"/>
    </row>
    <row r="55" spans="1:17" ht="24" customHeight="1">
      <c r="A55" s="218" t="s">
        <v>185</v>
      </c>
      <c r="B55" s="218" t="s">
        <v>62</v>
      </c>
      <c r="C55" s="16" t="s">
        <v>63</v>
      </c>
      <c r="D55" s="15" t="s">
        <v>186</v>
      </c>
      <c r="E55" s="17">
        <v>46174</v>
      </c>
      <c r="F55" s="17">
        <v>46221</v>
      </c>
      <c r="G55" s="15" t="s">
        <v>100</v>
      </c>
      <c r="H55" s="17" t="s">
        <v>66</v>
      </c>
      <c r="I55" s="17" t="s">
        <v>86</v>
      </c>
      <c r="J55" s="21">
        <v>5150</v>
      </c>
      <c r="K55" s="21"/>
      <c r="L55" s="21">
        <v>1700</v>
      </c>
      <c r="M55" s="336">
        <f>SUM(J55:L55)</f>
        <v>6850</v>
      </c>
      <c r="N55" s="359">
        <f>M55</f>
        <v>6850</v>
      </c>
      <c r="Q55"/>
    </row>
    <row r="56" spans="1:17" ht="24" customHeight="1">
      <c r="A56" s="218" t="s">
        <v>187</v>
      </c>
      <c r="B56" s="218" t="s">
        <v>62</v>
      </c>
      <c r="C56" s="16" t="s">
        <v>63</v>
      </c>
      <c r="D56" s="15" t="s">
        <v>188</v>
      </c>
      <c r="E56" s="17">
        <v>46182</v>
      </c>
      <c r="F56" s="17">
        <v>46222</v>
      </c>
      <c r="G56" s="15" t="s">
        <v>84</v>
      </c>
      <c r="H56" s="17" t="s">
        <v>85</v>
      </c>
      <c r="I56" s="17" t="s">
        <v>86</v>
      </c>
      <c r="J56" s="21">
        <v>6250</v>
      </c>
      <c r="K56" s="21"/>
      <c r="L56" s="21">
        <v>1700</v>
      </c>
      <c r="M56" s="336">
        <f>SUM(J56:L56)</f>
        <v>7950</v>
      </c>
      <c r="N56" s="359">
        <f>M56</f>
        <v>7950</v>
      </c>
      <c r="Q56"/>
    </row>
    <row r="57" spans="1:17" ht="24" customHeight="1">
      <c r="A57" s="218" t="s">
        <v>189</v>
      </c>
      <c r="B57" s="218" t="s">
        <v>62</v>
      </c>
      <c r="C57" s="16" t="s">
        <v>63</v>
      </c>
      <c r="D57" s="15" t="s">
        <v>190</v>
      </c>
      <c r="E57" s="17">
        <v>46182</v>
      </c>
      <c r="F57" s="17">
        <v>46222</v>
      </c>
      <c r="G57" s="15" t="s">
        <v>84</v>
      </c>
      <c r="H57" s="17" t="s">
        <v>85</v>
      </c>
      <c r="I57" s="17" t="s">
        <v>86</v>
      </c>
      <c r="J57" s="21">
        <v>6250</v>
      </c>
      <c r="K57" s="21"/>
      <c r="L57" s="21">
        <v>1700</v>
      </c>
      <c r="M57" s="336">
        <f>SUM(J57:L57)</f>
        <v>7950</v>
      </c>
      <c r="N57" s="359">
        <f>M57</f>
        <v>7950</v>
      </c>
      <c r="Q57"/>
    </row>
    <row r="58" spans="1:17" ht="24" customHeight="1">
      <c r="A58" s="218" t="s">
        <v>191</v>
      </c>
      <c r="B58" s="218" t="s">
        <v>62</v>
      </c>
      <c r="C58" s="16" t="s">
        <v>63</v>
      </c>
      <c r="D58" s="15" t="s">
        <v>192</v>
      </c>
      <c r="E58" s="17">
        <v>46182</v>
      </c>
      <c r="F58" s="17">
        <v>46222</v>
      </c>
      <c r="G58" s="15" t="s">
        <v>84</v>
      </c>
      <c r="H58" s="17" t="s">
        <v>85</v>
      </c>
      <c r="I58" s="17" t="s">
        <v>86</v>
      </c>
      <c r="J58" s="21">
        <v>6250</v>
      </c>
      <c r="K58" s="21"/>
      <c r="L58" s="21">
        <v>1700</v>
      </c>
      <c r="M58" s="336">
        <f>SUM(J58:L58)</f>
        <v>7950</v>
      </c>
      <c r="N58" s="359">
        <f>M58</f>
        <v>7950</v>
      </c>
      <c r="O58" s="419" t="s">
        <v>193</v>
      </c>
      <c r="Q58"/>
    </row>
    <row r="59" spans="1:17" ht="24" customHeight="1">
      <c r="A59" s="218" t="s">
        <v>194</v>
      </c>
      <c r="B59" s="218" t="s">
        <v>62</v>
      </c>
      <c r="C59" s="16" t="s">
        <v>63</v>
      </c>
      <c r="D59" s="15" t="s">
        <v>195</v>
      </c>
      <c r="E59" s="17">
        <v>46189</v>
      </c>
      <c r="F59" s="17">
        <v>46228</v>
      </c>
      <c r="G59" s="15" t="s">
        <v>84</v>
      </c>
      <c r="H59" s="17" t="s">
        <v>66</v>
      </c>
      <c r="I59" s="17" t="s">
        <v>86</v>
      </c>
      <c r="J59" s="21">
        <v>6650</v>
      </c>
      <c r="K59" s="21"/>
      <c r="L59" s="21">
        <v>1700</v>
      </c>
      <c r="M59" s="336">
        <f>SUM(J59:L59)</f>
        <v>8350</v>
      </c>
      <c r="N59" s="359">
        <f>M59</f>
        <v>8350</v>
      </c>
      <c r="Q59"/>
    </row>
    <row r="60" spans="1:17" ht="24" customHeight="1">
      <c r="A60" s="218" t="s">
        <v>196</v>
      </c>
      <c r="B60" s="218" t="s">
        <v>62</v>
      </c>
      <c r="C60" s="16" t="s">
        <v>63</v>
      </c>
      <c r="D60" s="15" t="s">
        <v>197</v>
      </c>
      <c r="E60" s="17">
        <v>46189</v>
      </c>
      <c r="F60" s="17">
        <v>46229</v>
      </c>
      <c r="G60" s="15" t="s">
        <v>84</v>
      </c>
      <c r="H60" s="17" t="s">
        <v>85</v>
      </c>
      <c r="I60" s="17" t="s">
        <v>86</v>
      </c>
      <c r="J60" s="21">
        <v>6650</v>
      </c>
      <c r="K60" s="21"/>
      <c r="L60" s="21">
        <v>1700</v>
      </c>
      <c r="M60" s="336">
        <f>SUM(J60:L60)</f>
        <v>8350</v>
      </c>
      <c r="N60" s="359">
        <f>M60</f>
        <v>8350</v>
      </c>
      <c r="Q60"/>
    </row>
    <row r="61" spans="1:17" ht="24" customHeight="1">
      <c r="A61" s="218" t="s">
        <v>198</v>
      </c>
      <c r="B61" s="218" t="s">
        <v>62</v>
      </c>
      <c r="C61" s="16" t="s">
        <v>63</v>
      </c>
      <c r="D61" s="15" t="s">
        <v>199</v>
      </c>
      <c r="E61" s="17">
        <v>46189</v>
      </c>
      <c r="F61" s="17">
        <v>46229</v>
      </c>
      <c r="G61" s="15" t="s">
        <v>84</v>
      </c>
      <c r="H61" s="17" t="s">
        <v>66</v>
      </c>
      <c r="I61" s="17" t="s">
        <v>86</v>
      </c>
      <c r="J61" s="21">
        <v>6650</v>
      </c>
      <c r="K61" s="21"/>
      <c r="L61" s="21">
        <v>1700</v>
      </c>
      <c r="M61" s="336">
        <f>SUM(J61:L61)</f>
        <v>8350</v>
      </c>
      <c r="N61" s="359">
        <f>M61</f>
        <v>8350</v>
      </c>
      <c r="Q61"/>
    </row>
    <row r="62" spans="1:17" ht="24" customHeight="1">
      <c r="A62" s="218" t="s">
        <v>200</v>
      </c>
      <c r="B62" s="218" t="s">
        <v>62</v>
      </c>
      <c r="C62" s="16" t="s">
        <v>63</v>
      </c>
      <c r="D62" s="15" t="s">
        <v>201</v>
      </c>
      <c r="E62" s="17">
        <v>46189</v>
      </c>
      <c r="F62" s="17">
        <v>46229</v>
      </c>
      <c r="G62" s="15" t="s">
        <v>84</v>
      </c>
      <c r="H62" s="17" t="s">
        <v>66</v>
      </c>
      <c r="I62" s="17" t="s">
        <v>181</v>
      </c>
      <c r="J62" s="21">
        <v>6650</v>
      </c>
      <c r="K62" s="21">
        <v>290</v>
      </c>
      <c r="L62" s="21">
        <v>2500</v>
      </c>
      <c r="M62" s="336">
        <f>SUM(J62:L62)</f>
        <v>9440</v>
      </c>
      <c r="N62" s="359">
        <f>M62</f>
        <v>9440</v>
      </c>
      <c r="O62" s="453" t="s">
        <v>182</v>
      </c>
      <c r="Q62"/>
    </row>
    <row r="63" spans="1:17" ht="24" customHeight="1">
      <c r="A63" s="218" t="s">
        <v>202</v>
      </c>
      <c r="B63" s="218" t="s">
        <v>62</v>
      </c>
      <c r="C63" s="16" t="s">
        <v>63</v>
      </c>
      <c r="D63" s="15" t="s">
        <v>203</v>
      </c>
      <c r="E63" s="17">
        <v>46189</v>
      </c>
      <c r="F63" s="17">
        <v>46229</v>
      </c>
      <c r="G63" s="15" t="s">
        <v>84</v>
      </c>
      <c r="H63" s="17" t="s">
        <v>66</v>
      </c>
      <c r="I63" s="17" t="s">
        <v>86</v>
      </c>
      <c r="J63" s="21">
        <v>6650</v>
      </c>
      <c r="K63" s="21"/>
      <c r="L63" s="21">
        <v>1700</v>
      </c>
      <c r="M63" s="336">
        <f>SUM(J63:L63)</f>
        <v>8350</v>
      </c>
      <c r="N63" s="359">
        <f>M63</f>
        <v>8350</v>
      </c>
      <c r="Q63"/>
    </row>
    <row r="64" spans="1:17" ht="24" customHeight="1">
      <c r="A64" s="106" t="s">
        <v>204</v>
      </c>
      <c r="B64" s="106" t="s">
        <v>62</v>
      </c>
      <c r="C64" s="33" t="s">
        <v>63</v>
      </c>
      <c r="D64" s="32" t="s">
        <v>205</v>
      </c>
      <c r="E64" s="34">
        <v>46189</v>
      </c>
      <c r="F64" s="34">
        <v>46229</v>
      </c>
      <c r="G64" s="32" t="s">
        <v>84</v>
      </c>
      <c r="H64" s="34" t="s">
        <v>85</v>
      </c>
      <c r="I64" s="34" t="s">
        <v>86</v>
      </c>
      <c r="J64" s="113">
        <v>6650</v>
      </c>
      <c r="K64" s="113"/>
      <c r="L64" s="113">
        <v>1700</v>
      </c>
      <c r="M64" s="335">
        <f>SUM(J64:L64)</f>
        <v>8350</v>
      </c>
      <c r="N64" s="359">
        <f>M64</f>
        <v>8350</v>
      </c>
      <c r="Q64"/>
    </row>
    <row r="65" spans="1:17" ht="24" customHeight="1">
      <c r="A65" s="106" t="s">
        <v>206</v>
      </c>
      <c r="B65" s="106" t="s">
        <v>62</v>
      </c>
      <c r="C65" s="33" t="s">
        <v>63</v>
      </c>
      <c r="D65" s="32" t="s">
        <v>207</v>
      </c>
      <c r="E65" s="34">
        <v>46189</v>
      </c>
      <c r="F65" s="34">
        <v>46229</v>
      </c>
      <c r="G65" s="32" t="s">
        <v>84</v>
      </c>
      <c r="H65" s="34" t="s">
        <v>85</v>
      </c>
      <c r="I65" s="34" t="s">
        <v>86</v>
      </c>
      <c r="J65" s="113">
        <v>6650</v>
      </c>
      <c r="K65" s="113"/>
      <c r="L65" s="113">
        <v>1700</v>
      </c>
      <c r="M65" s="335">
        <f>SUM(J65:L65)</f>
        <v>8350</v>
      </c>
      <c r="N65" s="359">
        <f>M65</f>
        <v>8350</v>
      </c>
      <c r="Q65"/>
    </row>
    <row r="66" spans="1:17" ht="24" customHeight="1">
      <c r="A66" s="106" t="s">
        <v>208</v>
      </c>
      <c r="B66" s="106" t="s">
        <v>62</v>
      </c>
      <c r="C66" s="33" t="s">
        <v>63</v>
      </c>
      <c r="D66" s="32" t="s">
        <v>209</v>
      </c>
      <c r="E66" s="34">
        <v>46189</v>
      </c>
      <c r="F66" s="34">
        <v>46229</v>
      </c>
      <c r="G66" s="32" t="s">
        <v>84</v>
      </c>
      <c r="H66" s="34" t="s">
        <v>85</v>
      </c>
      <c r="I66" s="34" t="s">
        <v>86</v>
      </c>
      <c r="J66" s="113">
        <v>6650</v>
      </c>
      <c r="K66" s="113"/>
      <c r="L66" s="113">
        <v>1700</v>
      </c>
      <c r="M66" s="335">
        <f>SUM(J66:L66)</f>
        <v>8350</v>
      </c>
      <c r="N66" s="359">
        <f>M66</f>
        <v>8350</v>
      </c>
      <c r="Q66"/>
    </row>
    <row r="67" spans="1:17" ht="24" customHeight="1">
      <c r="A67" s="106" t="s">
        <v>210</v>
      </c>
      <c r="B67" s="106" t="s">
        <v>62</v>
      </c>
      <c r="C67" s="33" t="s">
        <v>63</v>
      </c>
      <c r="D67" s="32" t="s">
        <v>211</v>
      </c>
      <c r="E67" s="34">
        <v>46189</v>
      </c>
      <c r="F67" s="34">
        <v>46229</v>
      </c>
      <c r="G67" s="32" t="s">
        <v>84</v>
      </c>
      <c r="H67" s="34" t="s">
        <v>85</v>
      </c>
      <c r="I67" s="34" t="s">
        <v>86</v>
      </c>
      <c r="J67" s="113">
        <v>6650</v>
      </c>
      <c r="K67" s="113"/>
      <c r="L67" s="113">
        <v>1700</v>
      </c>
      <c r="M67" s="335">
        <f>SUM(J67:L67)</f>
        <v>8350</v>
      </c>
      <c r="N67" s="359">
        <f>M67</f>
        <v>8350</v>
      </c>
      <c r="Q67"/>
    </row>
    <row r="68" spans="1:17" ht="24" customHeight="1">
      <c r="A68" s="106" t="s">
        <v>212</v>
      </c>
      <c r="B68" s="106" t="s">
        <v>62</v>
      </c>
      <c r="C68" s="33" t="s">
        <v>63</v>
      </c>
      <c r="D68" s="32" t="s">
        <v>213</v>
      </c>
      <c r="E68" s="34">
        <v>46196</v>
      </c>
      <c r="F68" s="34">
        <v>46237</v>
      </c>
      <c r="G68" s="32" t="s">
        <v>149</v>
      </c>
      <c r="H68" s="34" t="s">
        <v>66</v>
      </c>
      <c r="I68" s="34" t="s">
        <v>181</v>
      </c>
      <c r="J68" s="113">
        <v>6970</v>
      </c>
      <c r="K68" s="113">
        <v>250</v>
      </c>
      <c r="L68" s="113">
        <v>2500</v>
      </c>
      <c r="M68" s="335">
        <f>SUM(J68:L68)</f>
        <v>9720</v>
      </c>
      <c r="N68" s="359">
        <f>M68</f>
        <v>9720</v>
      </c>
      <c r="O68" s="453" t="s">
        <v>182</v>
      </c>
      <c r="Q68"/>
    </row>
    <row r="69" spans="1:17" ht="24" customHeight="1">
      <c r="A69" s="106" t="s">
        <v>214</v>
      </c>
      <c r="B69" s="106" t="s">
        <v>62</v>
      </c>
      <c r="C69" s="33" t="s">
        <v>63</v>
      </c>
      <c r="D69" s="32" t="s">
        <v>215</v>
      </c>
      <c r="E69" s="34">
        <v>46198</v>
      </c>
      <c r="F69" s="34">
        <v>46234</v>
      </c>
      <c r="G69" s="32" t="s">
        <v>84</v>
      </c>
      <c r="H69" s="34" t="s">
        <v>66</v>
      </c>
      <c r="I69" s="34" t="s">
        <v>86</v>
      </c>
      <c r="J69" s="113">
        <v>6750</v>
      </c>
      <c r="K69" s="113"/>
      <c r="L69" s="113">
        <v>1700</v>
      </c>
      <c r="M69" s="335">
        <f>SUM(J69:L69)</f>
        <v>8450</v>
      </c>
      <c r="N69" s="359">
        <f>M69</f>
        <v>8450</v>
      </c>
      <c r="Q69"/>
    </row>
    <row r="70" spans="1:17" ht="24" customHeight="1">
      <c r="A70" s="106" t="s">
        <v>216</v>
      </c>
      <c r="B70" s="106" t="s">
        <v>62</v>
      </c>
      <c r="C70" s="33" t="s">
        <v>63</v>
      </c>
      <c r="D70" s="32" t="s">
        <v>217</v>
      </c>
      <c r="E70" s="34">
        <v>46196</v>
      </c>
      <c r="F70" s="34">
        <v>46234</v>
      </c>
      <c r="G70" s="32" t="s">
        <v>149</v>
      </c>
      <c r="H70" s="34" t="s">
        <v>66</v>
      </c>
      <c r="I70" s="34" t="s">
        <v>86</v>
      </c>
      <c r="J70" s="113">
        <v>6950</v>
      </c>
      <c r="K70" s="113"/>
      <c r="L70" s="113">
        <v>1700</v>
      </c>
      <c r="M70" s="335">
        <f>SUM(J70:L70)</f>
        <v>8650</v>
      </c>
      <c r="N70" s="359">
        <f>M70</f>
        <v>8650</v>
      </c>
      <c r="Q70"/>
    </row>
    <row r="71" spans="1:17" ht="24" customHeight="1">
      <c r="A71" s="106" t="s">
        <v>218</v>
      </c>
      <c r="B71" s="106" t="s">
        <v>62</v>
      </c>
      <c r="C71" s="33" t="s">
        <v>63</v>
      </c>
      <c r="D71" s="32" t="s">
        <v>219</v>
      </c>
      <c r="E71" s="34">
        <v>46198</v>
      </c>
      <c r="F71" s="34">
        <v>46234</v>
      </c>
      <c r="G71" s="32" t="s">
        <v>84</v>
      </c>
      <c r="H71" s="34" t="s">
        <v>66</v>
      </c>
      <c r="I71" s="34" t="s">
        <v>86</v>
      </c>
      <c r="J71" s="113">
        <v>6750</v>
      </c>
      <c r="K71" s="113"/>
      <c r="L71" s="113">
        <v>1700</v>
      </c>
      <c r="M71" s="335">
        <f>SUM(J71:L71)</f>
        <v>8450</v>
      </c>
      <c r="N71" s="359">
        <f>M71</f>
        <v>8450</v>
      </c>
      <c r="Q71"/>
    </row>
    <row r="72" spans="1:17" ht="24" customHeight="1">
      <c r="A72" s="106" t="s">
        <v>220</v>
      </c>
      <c r="B72" s="106" t="s">
        <v>62</v>
      </c>
      <c r="C72" s="33" t="s">
        <v>63</v>
      </c>
      <c r="D72" s="32" t="s">
        <v>221</v>
      </c>
      <c r="E72" s="34">
        <v>46198</v>
      </c>
      <c r="F72" s="34">
        <v>46234</v>
      </c>
      <c r="G72" s="32" t="s">
        <v>84</v>
      </c>
      <c r="H72" s="34" t="s">
        <v>66</v>
      </c>
      <c r="I72" s="34" t="s">
        <v>86</v>
      </c>
      <c r="J72" s="113">
        <v>6750</v>
      </c>
      <c r="K72" s="113"/>
      <c r="L72" s="113">
        <v>1700</v>
      </c>
      <c r="M72" s="335">
        <f>SUM(J72:L72)</f>
        <v>8450</v>
      </c>
      <c r="N72" s="359">
        <f>M72</f>
        <v>8450</v>
      </c>
      <c r="Q72"/>
    </row>
    <row r="73" spans="1:17" ht="24" customHeight="1">
      <c r="A73" s="106" t="s">
        <v>222</v>
      </c>
      <c r="B73" s="106" t="s">
        <v>62</v>
      </c>
      <c r="C73" s="33" t="s">
        <v>63</v>
      </c>
      <c r="D73" s="32" t="s">
        <v>223</v>
      </c>
      <c r="E73" s="34">
        <v>46195</v>
      </c>
      <c r="F73" s="34">
        <v>46225</v>
      </c>
      <c r="G73" s="32" t="s">
        <v>89</v>
      </c>
      <c r="H73" s="34" t="s">
        <v>66</v>
      </c>
      <c r="I73" s="34" t="s">
        <v>105</v>
      </c>
      <c r="J73" s="113">
        <v>6800</v>
      </c>
      <c r="K73" s="113"/>
      <c r="L73" s="113">
        <v>0</v>
      </c>
      <c r="M73" s="335">
        <f>SUM(J73:L73)</f>
        <v>6800</v>
      </c>
      <c r="N73" s="359">
        <f>M73</f>
        <v>6800</v>
      </c>
      <c r="Q73"/>
    </row>
    <row r="74" spans="1:17" ht="24" customHeight="1">
      <c r="A74" s="106" t="s">
        <v>224</v>
      </c>
      <c r="B74" s="106" t="s">
        <v>62</v>
      </c>
      <c r="C74" s="33" t="s">
        <v>63</v>
      </c>
      <c r="D74" s="32" t="s">
        <v>225</v>
      </c>
      <c r="E74" s="34">
        <v>46193</v>
      </c>
      <c r="F74" s="34">
        <v>46233</v>
      </c>
      <c r="G74" s="32" t="s">
        <v>100</v>
      </c>
      <c r="H74" s="34" t="s">
        <v>85</v>
      </c>
      <c r="I74" s="34" t="s">
        <v>86</v>
      </c>
      <c r="J74" s="113">
        <v>6750</v>
      </c>
      <c r="K74" s="113"/>
      <c r="L74" s="113">
        <v>1700</v>
      </c>
      <c r="M74" s="335">
        <f>SUM(J74:L74)</f>
        <v>8450</v>
      </c>
      <c r="N74" s="359">
        <f>M74</f>
        <v>8450</v>
      </c>
      <c r="Q74"/>
    </row>
    <row r="75" spans="1:17" ht="24" customHeight="1">
      <c r="A75" s="106" t="s">
        <v>226</v>
      </c>
      <c r="B75" s="106" t="s">
        <v>62</v>
      </c>
      <c r="C75" s="33" t="s">
        <v>63</v>
      </c>
      <c r="D75" s="32" t="s">
        <v>227</v>
      </c>
      <c r="E75" s="34">
        <v>46193</v>
      </c>
      <c r="F75" s="34">
        <v>46233</v>
      </c>
      <c r="G75" s="32" t="s">
        <v>100</v>
      </c>
      <c r="H75" s="34" t="s">
        <v>85</v>
      </c>
      <c r="I75" s="34" t="s">
        <v>86</v>
      </c>
      <c r="J75" s="113">
        <v>6750</v>
      </c>
      <c r="K75" s="113"/>
      <c r="L75" s="113">
        <v>1700</v>
      </c>
      <c r="M75" s="335">
        <f>SUM(J75:L75)</f>
        <v>8450</v>
      </c>
      <c r="N75" s="359">
        <f>M75</f>
        <v>8450</v>
      </c>
      <c r="Q75"/>
    </row>
    <row r="76" spans="1:17" ht="24" customHeight="1">
      <c r="A76" s="106" t="s">
        <v>228</v>
      </c>
      <c r="B76" s="106" t="s">
        <v>62</v>
      </c>
      <c r="C76" s="33" t="s">
        <v>63</v>
      </c>
      <c r="D76" s="32" t="s">
        <v>229</v>
      </c>
      <c r="E76" s="34">
        <v>46196</v>
      </c>
      <c r="F76" s="34">
        <v>46239</v>
      </c>
      <c r="G76" s="32" t="s">
        <v>84</v>
      </c>
      <c r="H76" s="34" t="s">
        <v>66</v>
      </c>
      <c r="I76" s="34" t="s">
        <v>86</v>
      </c>
      <c r="J76" s="113">
        <v>6750</v>
      </c>
      <c r="K76" s="113"/>
      <c r="L76" s="113">
        <v>1700</v>
      </c>
      <c r="M76" s="335">
        <f>SUM(J76:L76)</f>
        <v>8450</v>
      </c>
      <c r="N76" s="359">
        <f>M76</f>
        <v>8450</v>
      </c>
      <c r="Q76"/>
    </row>
    <row r="77" spans="1:17" ht="24" customHeight="1">
      <c r="A77" s="106" t="s">
        <v>230</v>
      </c>
      <c r="B77" s="106" t="s">
        <v>62</v>
      </c>
      <c r="C77" s="33" t="s">
        <v>63</v>
      </c>
      <c r="D77" s="32" t="s">
        <v>231</v>
      </c>
      <c r="E77" s="34">
        <v>46196</v>
      </c>
      <c r="F77" s="34">
        <v>46237</v>
      </c>
      <c r="G77" s="32" t="s">
        <v>84</v>
      </c>
      <c r="H77" s="34" t="s">
        <v>66</v>
      </c>
      <c r="I77" s="34" t="s">
        <v>86</v>
      </c>
      <c r="J77" s="113">
        <v>6750</v>
      </c>
      <c r="K77" s="113"/>
      <c r="L77" s="113">
        <v>1700</v>
      </c>
      <c r="M77" s="335">
        <f>SUM(J77:L77)</f>
        <v>8450</v>
      </c>
      <c r="N77" s="359">
        <f>M77</f>
        <v>8450</v>
      </c>
      <c r="Q77"/>
    </row>
    <row r="78" spans="1:17" ht="24" customHeight="1">
      <c r="A78" s="106" t="s">
        <v>232</v>
      </c>
      <c r="B78" s="106" t="s">
        <v>62</v>
      </c>
      <c r="C78" s="33" t="s">
        <v>63</v>
      </c>
      <c r="D78" s="32" t="s">
        <v>233</v>
      </c>
      <c r="E78" s="34">
        <v>46196</v>
      </c>
      <c r="F78" s="34">
        <v>46237</v>
      </c>
      <c r="G78" s="32" t="s">
        <v>84</v>
      </c>
      <c r="H78" s="34" t="s">
        <v>66</v>
      </c>
      <c r="I78" s="34" t="s">
        <v>86</v>
      </c>
      <c r="J78" s="113">
        <v>6750</v>
      </c>
      <c r="K78" s="113"/>
      <c r="L78" s="113">
        <v>1700</v>
      </c>
      <c r="M78" s="335">
        <f>SUM(J78:L78)</f>
        <v>8450</v>
      </c>
      <c r="N78" s="359">
        <f>M78</f>
        <v>8450</v>
      </c>
      <c r="Q78"/>
    </row>
    <row r="79" spans="1:17" ht="24" customHeight="1">
      <c r="A79" s="106" t="s">
        <v>234</v>
      </c>
      <c r="B79" s="106" t="s">
        <v>62</v>
      </c>
      <c r="C79" s="33" t="s">
        <v>63</v>
      </c>
      <c r="D79" s="32" t="s">
        <v>235</v>
      </c>
      <c r="E79" s="34">
        <v>46196</v>
      </c>
      <c r="F79" s="34">
        <v>46237</v>
      </c>
      <c r="G79" s="32" t="s">
        <v>84</v>
      </c>
      <c r="H79" s="34" t="s">
        <v>66</v>
      </c>
      <c r="I79" s="34" t="s">
        <v>86</v>
      </c>
      <c r="J79" s="113">
        <v>6750</v>
      </c>
      <c r="K79" s="113"/>
      <c r="L79" s="113">
        <v>1700</v>
      </c>
      <c r="M79" s="335">
        <f>SUM(J79:L79)</f>
        <v>8450</v>
      </c>
      <c r="N79" s="359">
        <f>M79</f>
        <v>8450</v>
      </c>
      <c r="Q79"/>
    </row>
    <row r="80" spans="1:17" ht="24" customHeight="1">
      <c r="A80" s="106" t="s">
        <v>236</v>
      </c>
      <c r="B80" s="106" t="s">
        <v>62</v>
      </c>
      <c r="C80" s="33" t="s">
        <v>63</v>
      </c>
      <c r="D80" s="32" t="s">
        <v>237</v>
      </c>
      <c r="E80" s="34">
        <v>46197</v>
      </c>
      <c r="F80" s="34">
        <v>46239</v>
      </c>
      <c r="G80" s="32" t="s">
        <v>149</v>
      </c>
      <c r="H80" s="34" t="s">
        <v>66</v>
      </c>
      <c r="I80" s="34" t="s">
        <v>86</v>
      </c>
      <c r="J80" s="113">
        <v>6950</v>
      </c>
      <c r="K80" s="113"/>
      <c r="L80" s="113">
        <v>1700</v>
      </c>
      <c r="M80" s="335">
        <f>SUM(J80:L80)</f>
        <v>8650</v>
      </c>
      <c r="N80" s="359">
        <f>M80</f>
        <v>8650</v>
      </c>
      <c r="Q80"/>
    </row>
    <row r="81" spans="1:17" ht="24" customHeight="1">
      <c r="A81" s="106" t="s">
        <v>238</v>
      </c>
      <c r="B81" s="106" t="s">
        <v>62</v>
      </c>
      <c r="C81" s="33" t="s">
        <v>63</v>
      </c>
      <c r="D81" s="32" t="s">
        <v>239</v>
      </c>
      <c r="E81" s="34">
        <v>46205</v>
      </c>
      <c r="F81" s="34">
        <v>46236</v>
      </c>
      <c r="G81" s="32" t="s">
        <v>84</v>
      </c>
      <c r="H81" s="34" t="s">
        <v>240</v>
      </c>
      <c r="I81" s="34" t="s">
        <v>105</v>
      </c>
      <c r="J81" s="113">
        <v>6750</v>
      </c>
      <c r="K81" s="113"/>
      <c r="L81" s="113">
        <v>0</v>
      </c>
      <c r="M81" s="335">
        <f>SUM(J81:L81)</f>
        <v>6750</v>
      </c>
      <c r="N81" s="359">
        <f>M81</f>
        <v>6750</v>
      </c>
      <c r="Q81"/>
    </row>
    <row r="82" spans="1:17" ht="24" customHeight="1">
      <c r="A82" s="106" t="s">
        <v>241</v>
      </c>
      <c r="B82" s="106" t="s">
        <v>62</v>
      </c>
      <c r="C82" s="33" t="s">
        <v>63</v>
      </c>
      <c r="D82" s="32" t="s">
        <v>242</v>
      </c>
      <c r="E82" s="34">
        <v>46203</v>
      </c>
      <c r="F82" s="34">
        <v>46239</v>
      </c>
      <c r="G82" s="32" t="s">
        <v>84</v>
      </c>
      <c r="H82" s="34" t="s">
        <v>66</v>
      </c>
      <c r="I82" s="34" t="s">
        <v>86</v>
      </c>
      <c r="J82" s="113">
        <v>6750</v>
      </c>
      <c r="K82" s="113"/>
      <c r="L82" s="113">
        <v>1700</v>
      </c>
      <c r="M82" s="335">
        <f>SUM(J82:L82)</f>
        <v>8450</v>
      </c>
      <c r="N82" s="359">
        <f>M82</f>
        <v>8450</v>
      </c>
      <c r="Q82"/>
    </row>
    <row r="83" spans="1:17" ht="24" customHeight="1">
      <c r="A83" s="106" t="s">
        <v>243</v>
      </c>
      <c r="B83" s="106" t="s">
        <v>62</v>
      </c>
      <c r="C83" s="33" t="s">
        <v>63</v>
      </c>
      <c r="D83" s="32" t="s">
        <v>244</v>
      </c>
      <c r="E83" s="34">
        <v>46203</v>
      </c>
      <c r="F83" s="34">
        <v>46239</v>
      </c>
      <c r="G83" s="32" t="s">
        <v>84</v>
      </c>
      <c r="H83" s="34" t="s">
        <v>66</v>
      </c>
      <c r="I83" s="34" t="s">
        <v>86</v>
      </c>
      <c r="J83" s="113">
        <v>6750</v>
      </c>
      <c r="K83" s="113"/>
      <c r="L83" s="113">
        <v>1700</v>
      </c>
      <c r="M83" s="335">
        <f>SUM(J83:L83)</f>
        <v>8450</v>
      </c>
      <c r="N83" s="359">
        <f>M83</f>
        <v>8450</v>
      </c>
      <c r="Q83"/>
    </row>
    <row r="84" spans="1:17" ht="24" customHeight="1">
      <c r="A84" s="106" t="s">
        <v>245</v>
      </c>
      <c r="B84" s="106" t="s">
        <v>62</v>
      </c>
      <c r="C84" s="33" t="s">
        <v>63</v>
      </c>
      <c r="D84" s="32" t="s">
        <v>246</v>
      </c>
      <c r="E84" s="34">
        <v>46203</v>
      </c>
      <c r="F84" s="34">
        <v>46228</v>
      </c>
      <c r="G84" s="32" t="s">
        <v>84</v>
      </c>
      <c r="H84" s="34" t="s">
        <v>66</v>
      </c>
      <c r="I84" s="34" t="s">
        <v>105</v>
      </c>
      <c r="J84" s="113">
        <v>6750</v>
      </c>
      <c r="K84" s="113"/>
      <c r="L84" s="113">
        <v>0</v>
      </c>
      <c r="M84" s="335">
        <f>SUM(J84:L84)</f>
        <v>6750</v>
      </c>
      <c r="N84" s="359">
        <f>M84</f>
        <v>6750</v>
      </c>
      <c r="Q84"/>
    </row>
    <row r="85" spans="1:17" ht="24" customHeight="1">
      <c r="A85" s="106" t="s">
        <v>247</v>
      </c>
      <c r="B85" s="106" t="s">
        <v>62</v>
      </c>
      <c r="C85" s="33" t="s">
        <v>63</v>
      </c>
      <c r="D85" s="32" t="s">
        <v>248</v>
      </c>
      <c r="E85" s="34">
        <v>46203</v>
      </c>
      <c r="F85" s="34">
        <v>46228</v>
      </c>
      <c r="G85" s="32" t="s">
        <v>84</v>
      </c>
      <c r="H85" s="34" t="s">
        <v>66</v>
      </c>
      <c r="I85" s="34" t="s">
        <v>105</v>
      </c>
      <c r="J85" s="113">
        <v>6750</v>
      </c>
      <c r="K85" s="113"/>
      <c r="L85" s="113">
        <v>0</v>
      </c>
      <c r="M85" s="335">
        <f>SUM(J85:L85)</f>
        <v>6750</v>
      </c>
      <c r="N85" s="359">
        <f>M85</f>
        <v>6750</v>
      </c>
      <c r="Q85"/>
    </row>
    <row r="86" spans="1:17" ht="24" customHeight="1">
      <c r="A86" s="106" t="s">
        <v>249</v>
      </c>
      <c r="B86" s="106" t="s">
        <v>62</v>
      </c>
      <c r="C86" s="33" t="s">
        <v>63</v>
      </c>
      <c r="D86" s="32" t="s">
        <v>250</v>
      </c>
      <c r="E86" s="34">
        <v>46203</v>
      </c>
      <c r="F86" s="34">
        <v>46239</v>
      </c>
      <c r="G86" s="32" t="s">
        <v>149</v>
      </c>
      <c r="H86" s="34" t="s">
        <v>66</v>
      </c>
      <c r="I86" s="34" t="s">
        <v>86</v>
      </c>
      <c r="J86" s="113">
        <v>6950</v>
      </c>
      <c r="K86" s="113"/>
      <c r="L86" s="113">
        <v>1700</v>
      </c>
      <c r="M86" s="335">
        <f>SUM(J86:L86)</f>
        <v>8650</v>
      </c>
      <c r="N86" s="359">
        <f>M86</f>
        <v>8650</v>
      </c>
      <c r="Q86"/>
    </row>
    <row r="87" spans="1:17" ht="24" customHeight="1">
      <c r="A87" s="106" t="s">
        <v>251</v>
      </c>
      <c r="B87" s="106" t="s">
        <v>62</v>
      </c>
      <c r="C87" s="33" t="s">
        <v>63</v>
      </c>
      <c r="D87" s="32" t="s">
        <v>252</v>
      </c>
      <c r="E87" s="34">
        <v>46208</v>
      </c>
      <c r="F87" s="34">
        <v>46246</v>
      </c>
      <c r="G87" s="32" t="s">
        <v>84</v>
      </c>
      <c r="H87" s="34" t="s">
        <v>66</v>
      </c>
      <c r="I87" s="34" t="s">
        <v>86</v>
      </c>
      <c r="J87" s="113">
        <v>6750</v>
      </c>
      <c r="K87" s="113"/>
      <c r="L87" s="113">
        <v>1700</v>
      </c>
      <c r="M87" s="335">
        <f>SUM(J87:L87)</f>
        <v>8450</v>
      </c>
      <c r="N87" s="359">
        <f>M87</f>
        <v>8450</v>
      </c>
      <c r="Q87"/>
    </row>
    <row r="88" spans="1:17" ht="24" customHeight="1">
      <c r="A88" s="106" t="s">
        <v>253</v>
      </c>
      <c r="B88" s="106" t="s">
        <v>62</v>
      </c>
      <c r="C88" s="33" t="s">
        <v>63</v>
      </c>
      <c r="D88" s="32" t="s">
        <v>254</v>
      </c>
      <c r="E88" s="34">
        <v>46208</v>
      </c>
      <c r="F88" s="34">
        <v>46246</v>
      </c>
      <c r="G88" s="32" t="s">
        <v>84</v>
      </c>
      <c r="H88" s="34" t="s">
        <v>66</v>
      </c>
      <c r="I88" s="34" t="s">
        <v>86</v>
      </c>
      <c r="J88" s="113">
        <v>6750</v>
      </c>
      <c r="K88" s="113"/>
      <c r="L88" s="113">
        <v>1700</v>
      </c>
      <c r="M88" s="335">
        <f>SUM(J88:L88)</f>
        <v>8450</v>
      </c>
      <c r="N88" s="359">
        <f>M88</f>
        <v>8450</v>
      </c>
      <c r="Q88"/>
    </row>
    <row r="89" spans="1:17" ht="24" customHeight="1">
      <c r="A89" s="106" t="s">
        <v>255</v>
      </c>
      <c r="B89" s="106" t="s">
        <v>62</v>
      </c>
      <c r="C89" s="33" t="s">
        <v>63</v>
      </c>
      <c r="D89" s="32" t="s">
        <v>256</v>
      </c>
      <c r="E89" s="34">
        <v>46208</v>
      </c>
      <c r="F89" s="34">
        <v>46246</v>
      </c>
      <c r="G89" s="32" t="s">
        <v>84</v>
      </c>
      <c r="H89" s="34" t="s">
        <v>66</v>
      </c>
      <c r="I89" s="34" t="s">
        <v>86</v>
      </c>
      <c r="J89" s="113">
        <v>6750</v>
      </c>
      <c r="K89" s="113"/>
      <c r="L89" s="113">
        <v>1700</v>
      </c>
      <c r="M89" s="335">
        <f>SUM(J89:L89)</f>
        <v>8450</v>
      </c>
      <c r="N89" s="359">
        <f>M89</f>
        <v>8450</v>
      </c>
      <c r="Q89"/>
    </row>
    <row r="90" spans="1:17" ht="24" customHeight="1">
      <c r="A90" s="106" t="s">
        <v>257</v>
      </c>
      <c r="B90" s="106" t="s">
        <v>62</v>
      </c>
      <c r="C90" s="33" t="s">
        <v>63</v>
      </c>
      <c r="D90" s="32" t="s">
        <v>258</v>
      </c>
      <c r="E90" s="34">
        <v>46208</v>
      </c>
      <c r="F90" s="34">
        <v>46246</v>
      </c>
      <c r="G90" s="32" t="s">
        <v>84</v>
      </c>
      <c r="H90" s="34" t="s">
        <v>66</v>
      </c>
      <c r="I90" s="34" t="s">
        <v>86</v>
      </c>
      <c r="J90" s="113">
        <v>6750</v>
      </c>
      <c r="K90" s="113"/>
      <c r="L90" s="113">
        <v>1700</v>
      </c>
      <c r="M90" s="335">
        <f>SUM(J90:L90)</f>
        <v>8450</v>
      </c>
      <c r="N90" s="359">
        <f>M90</f>
        <v>8450</v>
      </c>
      <c r="Q90"/>
    </row>
    <row r="91" spans="1:17" ht="24" customHeight="1">
      <c r="A91" s="106" t="s">
        <v>259</v>
      </c>
      <c r="B91" s="106" t="s">
        <v>62</v>
      </c>
      <c r="C91" s="33" t="s">
        <v>63</v>
      </c>
      <c r="D91" s="32" t="s">
        <v>260</v>
      </c>
      <c r="E91" s="34">
        <v>46208</v>
      </c>
      <c r="F91" s="34">
        <v>46236</v>
      </c>
      <c r="G91" s="32" t="s">
        <v>84</v>
      </c>
      <c r="H91" s="34" t="s">
        <v>66</v>
      </c>
      <c r="I91" s="34" t="s">
        <v>105</v>
      </c>
      <c r="J91" s="113">
        <v>6750</v>
      </c>
      <c r="K91" s="113"/>
      <c r="L91" s="113">
        <v>0</v>
      </c>
      <c r="M91" s="335">
        <f>SUM(J91:L91)</f>
        <v>6750</v>
      </c>
      <c r="N91" s="359">
        <f>M91</f>
        <v>6750</v>
      </c>
      <c r="Q91"/>
    </row>
    <row r="92" spans="1:17" ht="24" customHeight="1">
      <c r="A92" s="106" t="s">
        <v>261</v>
      </c>
      <c r="B92" s="106" t="s">
        <v>62</v>
      </c>
      <c r="C92" s="33" t="s">
        <v>63</v>
      </c>
      <c r="D92" s="32" t="s">
        <v>262</v>
      </c>
      <c r="E92" s="34">
        <v>46203</v>
      </c>
      <c r="F92" s="34">
        <v>46244</v>
      </c>
      <c r="G92" s="32" t="s">
        <v>84</v>
      </c>
      <c r="H92" s="34" t="s">
        <v>85</v>
      </c>
      <c r="I92" s="34" t="s">
        <v>86</v>
      </c>
      <c r="J92" s="113">
        <v>6750</v>
      </c>
      <c r="K92" s="113"/>
      <c r="L92" s="113">
        <v>1700</v>
      </c>
      <c r="M92" s="335">
        <f>SUM(J92:L92)</f>
        <v>8450</v>
      </c>
      <c r="N92" s="359">
        <f>M92</f>
        <v>8450</v>
      </c>
      <c r="Q92"/>
    </row>
    <row r="93" spans="1:17" ht="24" customHeight="1">
      <c r="A93" s="106" t="s">
        <v>263</v>
      </c>
      <c r="B93" s="106" t="s">
        <v>62</v>
      </c>
      <c r="C93" s="33" t="s">
        <v>63</v>
      </c>
      <c r="D93" s="32" t="s">
        <v>264</v>
      </c>
      <c r="E93" s="34">
        <v>46203</v>
      </c>
      <c r="F93" s="34">
        <v>46244</v>
      </c>
      <c r="G93" s="32" t="s">
        <v>84</v>
      </c>
      <c r="H93" s="34" t="s">
        <v>85</v>
      </c>
      <c r="I93" s="34" t="s">
        <v>86</v>
      </c>
      <c r="J93" s="113">
        <v>6750</v>
      </c>
      <c r="K93" s="113"/>
      <c r="L93" s="113">
        <v>1700</v>
      </c>
      <c r="M93" s="335">
        <f>SUM(J93:L93)</f>
        <v>8450</v>
      </c>
      <c r="N93" s="359">
        <f>M93</f>
        <v>8450</v>
      </c>
      <c r="Q93"/>
    </row>
    <row r="94" spans="1:17" ht="24" customHeight="1">
      <c r="A94" s="106" t="s">
        <v>265</v>
      </c>
      <c r="B94" s="106" t="s">
        <v>62</v>
      </c>
      <c r="C94" s="33" t="s">
        <v>63</v>
      </c>
      <c r="D94" s="32" t="s">
        <v>266</v>
      </c>
      <c r="E94" s="34">
        <v>46203</v>
      </c>
      <c r="F94" s="34">
        <v>46244</v>
      </c>
      <c r="G94" s="32" t="s">
        <v>84</v>
      </c>
      <c r="H94" s="34" t="s">
        <v>85</v>
      </c>
      <c r="I94" s="34" t="s">
        <v>86</v>
      </c>
      <c r="J94" s="113">
        <v>6750</v>
      </c>
      <c r="K94" s="113"/>
      <c r="L94" s="113">
        <v>1700</v>
      </c>
      <c r="M94" s="335">
        <f>SUM(J94:L94)</f>
        <v>8450</v>
      </c>
      <c r="N94" s="359">
        <f>M94</f>
        <v>8450</v>
      </c>
      <c r="Q94"/>
    </row>
    <row r="95" spans="1:17" ht="24" customHeight="1">
      <c r="A95" s="106" t="s">
        <v>267</v>
      </c>
      <c r="B95" s="106" t="s">
        <v>62</v>
      </c>
      <c r="C95" s="33" t="s">
        <v>63</v>
      </c>
      <c r="D95" s="32" t="s">
        <v>268</v>
      </c>
      <c r="E95" s="34">
        <v>46208</v>
      </c>
      <c r="F95" s="34">
        <v>46249</v>
      </c>
      <c r="G95" s="32" t="s">
        <v>84</v>
      </c>
      <c r="H95" s="34" t="s">
        <v>66</v>
      </c>
      <c r="I95" s="34" t="s">
        <v>86</v>
      </c>
      <c r="J95" s="113">
        <v>6750</v>
      </c>
      <c r="K95" s="113"/>
      <c r="L95" s="113">
        <v>1700</v>
      </c>
      <c r="M95" s="335">
        <f>SUM(J95:L95)</f>
        <v>8450</v>
      </c>
      <c r="N95" s="359">
        <f>M95</f>
        <v>8450</v>
      </c>
      <c r="Q95"/>
    </row>
    <row r="96" spans="1:17" ht="24" customHeight="1">
      <c r="A96" s="106" t="s">
        <v>269</v>
      </c>
      <c r="B96" s="106" t="s">
        <v>62</v>
      </c>
      <c r="C96" s="33" t="s">
        <v>63</v>
      </c>
      <c r="D96" s="32" t="s">
        <v>270</v>
      </c>
      <c r="E96" s="34">
        <v>46208</v>
      </c>
      <c r="F96" s="34">
        <v>46249</v>
      </c>
      <c r="G96" s="32" t="s">
        <v>84</v>
      </c>
      <c r="H96" s="34" t="s">
        <v>66</v>
      </c>
      <c r="I96" s="34" t="s">
        <v>86</v>
      </c>
      <c r="J96" s="113">
        <v>6750</v>
      </c>
      <c r="K96" s="113"/>
      <c r="L96" s="113">
        <v>1700</v>
      </c>
      <c r="M96" s="335">
        <f>SUM(J96:L96)</f>
        <v>8450</v>
      </c>
      <c r="N96" s="359">
        <f>M96</f>
        <v>8450</v>
      </c>
      <c r="Q96"/>
    </row>
    <row r="97" spans="1:17" ht="24" customHeight="1">
      <c r="A97" s="106" t="s">
        <v>271</v>
      </c>
      <c r="B97" s="106" t="s">
        <v>62</v>
      </c>
      <c r="C97" s="33" t="s">
        <v>63</v>
      </c>
      <c r="D97" s="32" t="s">
        <v>272</v>
      </c>
      <c r="E97" s="34">
        <v>46208</v>
      </c>
      <c r="F97" s="34">
        <v>46249</v>
      </c>
      <c r="G97" s="32" t="s">
        <v>84</v>
      </c>
      <c r="H97" s="34" t="s">
        <v>66</v>
      </c>
      <c r="I97" s="34" t="s">
        <v>86</v>
      </c>
      <c r="J97" s="113">
        <v>6750</v>
      </c>
      <c r="K97" s="113"/>
      <c r="L97" s="113">
        <v>1700</v>
      </c>
      <c r="M97" s="335">
        <f>SUM(J97:L97)</f>
        <v>8450</v>
      </c>
      <c r="N97" s="359">
        <f>M97</f>
        <v>8450</v>
      </c>
      <c r="Q97"/>
    </row>
    <row r="98" spans="1:17" ht="24" customHeight="1">
      <c r="A98" s="106" t="s">
        <v>273</v>
      </c>
      <c r="B98" s="106" t="s">
        <v>62</v>
      </c>
      <c r="C98" s="33" t="s">
        <v>63</v>
      </c>
      <c r="D98" s="32" t="s">
        <v>274</v>
      </c>
      <c r="E98" s="34">
        <v>46208</v>
      </c>
      <c r="F98" s="34">
        <v>46249</v>
      </c>
      <c r="G98" s="32" t="s">
        <v>84</v>
      </c>
      <c r="H98" s="34" t="s">
        <v>66</v>
      </c>
      <c r="I98" s="34" t="s">
        <v>86</v>
      </c>
      <c r="J98" s="113">
        <v>6750</v>
      </c>
      <c r="K98" s="113"/>
      <c r="L98" s="113">
        <v>1700</v>
      </c>
      <c r="M98" s="335">
        <f>SUM(J98:L98)</f>
        <v>8450</v>
      </c>
      <c r="N98" s="359">
        <f>M98</f>
        <v>8450</v>
      </c>
      <c r="Q98"/>
    </row>
    <row r="99" spans="1:17" ht="16.899999999999999" customHeight="1">
      <c r="A99" s="106" t="s">
        <v>275</v>
      </c>
      <c r="B99" s="106" t="s">
        <v>62</v>
      </c>
      <c r="C99" s="33" t="s">
        <v>63</v>
      </c>
      <c r="D99" s="32" t="s">
        <v>276</v>
      </c>
      <c r="E99" s="34">
        <v>46192</v>
      </c>
      <c r="F99" s="34">
        <v>46232</v>
      </c>
      <c r="G99" s="32" t="s">
        <v>149</v>
      </c>
      <c r="H99" s="34" t="s">
        <v>66</v>
      </c>
      <c r="I99" s="34" t="s">
        <v>86</v>
      </c>
      <c r="J99" s="113">
        <f>7600</f>
        <v>7600</v>
      </c>
      <c r="K99" s="113">
        <v>644</v>
      </c>
      <c r="L99" s="113">
        <v>1700</v>
      </c>
      <c r="M99" s="335">
        <f>SUM(J99:L99)</f>
        <v>9944</v>
      </c>
      <c r="N99" s="359">
        <f>M99</f>
        <v>9944</v>
      </c>
      <c r="O99" s="419" t="s">
        <v>193</v>
      </c>
      <c r="Q99"/>
    </row>
    <row r="100" spans="1:17" ht="16.899999999999999" customHeight="1">
      <c r="A100" s="106" t="s">
        <v>277</v>
      </c>
      <c r="B100" s="106" t="s">
        <v>62</v>
      </c>
      <c r="C100" s="33" t="s">
        <v>63</v>
      </c>
      <c r="D100" s="32" t="s">
        <v>278</v>
      </c>
      <c r="E100" s="34">
        <v>46192</v>
      </c>
      <c r="F100" s="34">
        <v>46232</v>
      </c>
      <c r="G100" s="32" t="s">
        <v>149</v>
      </c>
      <c r="H100" s="34" t="s">
        <v>66</v>
      </c>
      <c r="I100" s="34" t="s">
        <v>86</v>
      </c>
      <c r="J100" s="113">
        <v>7600</v>
      </c>
      <c r="K100" s="113">
        <v>1440</v>
      </c>
      <c r="L100" s="113">
        <v>1700</v>
      </c>
      <c r="M100" s="335">
        <f>SUM(J100:L100)</f>
        <v>10740</v>
      </c>
      <c r="N100" s="359">
        <f>M100</f>
        <v>10740</v>
      </c>
      <c r="O100" s="419" t="s">
        <v>279</v>
      </c>
      <c r="Q100"/>
    </row>
    <row r="101" spans="1:17" ht="16.899999999999999" customHeight="1">
      <c r="A101" s="106" t="s">
        <v>280</v>
      </c>
      <c r="B101" s="106" t="s">
        <v>62</v>
      </c>
      <c r="C101" s="33" t="s">
        <v>63</v>
      </c>
      <c r="D101" s="32" t="s">
        <v>281</v>
      </c>
      <c r="E101" s="34">
        <v>46193</v>
      </c>
      <c r="F101" s="34">
        <v>46232</v>
      </c>
      <c r="G101" s="32" t="s">
        <v>100</v>
      </c>
      <c r="H101" s="34" t="s">
        <v>85</v>
      </c>
      <c r="I101" s="34" t="s">
        <v>86</v>
      </c>
      <c r="J101" s="113">
        <v>7300</v>
      </c>
      <c r="K101" s="113">
        <v>2340</v>
      </c>
      <c r="L101" s="113">
        <v>1700</v>
      </c>
      <c r="M101" s="335">
        <f>SUM(J101:L101)</f>
        <v>11340</v>
      </c>
      <c r="N101" s="359">
        <f>M101</f>
        <v>11340</v>
      </c>
      <c r="O101" s="419" t="s">
        <v>282</v>
      </c>
      <c r="Q101"/>
    </row>
    <row r="102" spans="1:17" ht="16.899999999999999" customHeight="1">
      <c r="A102" s="106" t="s">
        <v>283</v>
      </c>
      <c r="B102" s="106" t="s">
        <v>62</v>
      </c>
      <c r="C102" s="33" t="s">
        <v>63</v>
      </c>
      <c r="D102" s="32" t="s">
        <v>284</v>
      </c>
      <c r="E102" s="34">
        <v>46208</v>
      </c>
      <c r="F102" s="34">
        <v>46246</v>
      </c>
      <c r="G102" s="32" t="s">
        <v>84</v>
      </c>
      <c r="H102" s="34" t="s">
        <v>285</v>
      </c>
      <c r="I102" s="34" t="s">
        <v>86</v>
      </c>
      <c r="J102" s="113">
        <v>7050</v>
      </c>
      <c r="K102" s="113"/>
      <c r="L102" s="113">
        <v>1700</v>
      </c>
      <c r="M102" s="335">
        <f>SUM(J102:L102)</f>
        <v>8750</v>
      </c>
      <c r="N102" s="359">
        <f>M102</f>
        <v>8750</v>
      </c>
      <c r="Q102"/>
    </row>
    <row r="103" spans="1:17" ht="16.899999999999999" customHeight="1">
      <c r="A103" s="106" t="s">
        <v>286</v>
      </c>
      <c r="B103" s="106" t="s">
        <v>62</v>
      </c>
      <c r="C103" s="33" t="s">
        <v>63</v>
      </c>
      <c r="D103" s="32" t="s">
        <v>287</v>
      </c>
      <c r="E103" s="34">
        <v>46207</v>
      </c>
      <c r="F103" s="34">
        <v>46248</v>
      </c>
      <c r="G103" s="32" t="s">
        <v>100</v>
      </c>
      <c r="H103" s="34" t="s">
        <v>85</v>
      </c>
      <c r="I103" s="34" t="s">
        <v>86</v>
      </c>
      <c r="J103" s="113">
        <v>6200</v>
      </c>
      <c r="K103" s="113"/>
      <c r="L103" s="113">
        <v>1700</v>
      </c>
      <c r="M103" s="335">
        <f>SUM(J103:L103)</f>
        <v>7900</v>
      </c>
      <c r="N103" s="359">
        <f>M103</f>
        <v>7900</v>
      </c>
      <c r="Q103"/>
    </row>
    <row r="104" spans="1:17" ht="16.899999999999999" customHeight="1">
      <c r="A104" s="106" t="s">
        <v>288</v>
      </c>
      <c r="B104" s="106" t="s">
        <v>62</v>
      </c>
      <c r="C104" s="33" t="s">
        <v>63</v>
      </c>
      <c r="D104" s="32" t="s">
        <v>289</v>
      </c>
      <c r="E104" s="34">
        <v>46207</v>
      </c>
      <c r="F104" s="34">
        <v>46248</v>
      </c>
      <c r="G104" s="32" t="s">
        <v>100</v>
      </c>
      <c r="H104" s="34" t="s">
        <v>85</v>
      </c>
      <c r="I104" s="34" t="s">
        <v>86</v>
      </c>
      <c r="J104" s="113">
        <v>6200</v>
      </c>
      <c r="K104" s="113"/>
      <c r="L104" s="113">
        <v>1700</v>
      </c>
      <c r="M104" s="335">
        <f>SUM(J104:L104)</f>
        <v>7900</v>
      </c>
      <c r="N104" s="359">
        <f>M104</f>
        <v>7900</v>
      </c>
      <c r="Q104"/>
    </row>
    <row r="105" spans="1:17" ht="16.899999999999999" customHeight="1">
      <c r="A105" s="106" t="s">
        <v>290</v>
      </c>
      <c r="B105" s="106" t="s">
        <v>62</v>
      </c>
      <c r="C105" s="33" t="s">
        <v>63</v>
      </c>
      <c r="D105" s="32" t="s">
        <v>291</v>
      </c>
      <c r="E105" s="34">
        <v>46207</v>
      </c>
      <c r="F105" s="34">
        <v>46248</v>
      </c>
      <c r="G105" s="32" t="s">
        <v>100</v>
      </c>
      <c r="H105" s="34" t="s">
        <v>85</v>
      </c>
      <c r="I105" s="34" t="s">
        <v>86</v>
      </c>
      <c r="J105" s="113">
        <v>6200</v>
      </c>
      <c r="K105" s="113"/>
      <c r="L105" s="113">
        <v>1700</v>
      </c>
      <c r="M105" s="335">
        <f>SUM(J105:L105)</f>
        <v>7900</v>
      </c>
      <c r="N105" s="359">
        <f>M105</f>
        <v>7900</v>
      </c>
      <c r="Q105"/>
    </row>
    <row r="106" spans="1:17" ht="16.899999999999999" customHeight="1">
      <c r="A106" s="106" t="s">
        <v>292</v>
      </c>
      <c r="B106" s="106" t="s">
        <v>62</v>
      </c>
      <c r="C106" s="33" t="s">
        <v>63</v>
      </c>
      <c r="D106" s="32" t="s">
        <v>293</v>
      </c>
      <c r="E106" s="34">
        <v>46210</v>
      </c>
      <c r="F106" s="34">
        <v>46251</v>
      </c>
      <c r="G106" s="32" t="s">
        <v>84</v>
      </c>
      <c r="H106" s="34" t="s">
        <v>85</v>
      </c>
      <c r="I106" s="34" t="s">
        <v>86</v>
      </c>
      <c r="J106" s="113">
        <v>6250</v>
      </c>
      <c r="K106" s="113"/>
      <c r="L106" s="113">
        <v>1700</v>
      </c>
      <c r="M106" s="335">
        <f>SUM(J106:L106)</f>
        <v>7950</v>
      </c>
      <c r="N106" s="359">
        <f>M106</f>
        <v>7950</v>
      </c>
      <c r="Q106"/>
    </row>
    <row r="107" spans="1:17" ht="16.899999999999999" customHeight="1">
      <c r="A107" s="106" t="s">
        <v>294</v>
      </c>
      <c r="B107" s="106" t="s">
        <v>62</v>
      </c>
      <c r="C107" s="33" t="s">
        <v>63</v>
      </c>
      <c r="D107" s="32" t="s">
        <v>295</v>
      </c>
      <c r="E107" s="34">
        <v>46214</v>
      </c>
      <c r="F107" s="34">
        <v>46255</v>
      </c>
      <c r="G107" s="32" t="s">
        <v>149</v>
      </c>
      <c r="H107" s="34" t="s">
        <v>66</v>
      </c>
      <c r="I107" s="34" t="s">
        <v>86</v>
      </c>
      <c r="J107" s="113">
        <v>5900</v>
      </c>
      <c r="K107" s="113"/>
      <c r="L107" s="113">
        <v>1700</v>
      </c>
      <c r="M107" s="335">
        <f>SUM(J107:L107)</f>
        <v>7600</v>
      </c>
      <c r="N107" s="359">
        <f>M107</f>
        <v>7600</v>
      </c>
      <c r="Q107"/>
    </row>
    <row r="108" spans="1:17" ht="16.899999999999999" customHeight="1">
      <c r="A108" s="106" t="s">
        <v>296</v>
      </c>
      <c r="B108" s="106" t="s">
        <v>62</v>
      </c>
      <c r="C108" s="33" t="s">
        <v>63</v>
      </c>
      <c r="D108" s="32" t="s">
        <v>297</v>
      </c>
      <c r="E108" s="34">
        <v>46196</v>
      </c>
      <c r="F108" s="34">
        <v>46234</v>
      </c>
      <c r="G108" s="32" t="s">
        <v>84</v>
      </c>
      <c r="H108" s="34" t="s">
        <v>66</v>
      </c>
      <c r="I108" s="34" t="s">
        <v>86</v>
      </c>
      <c r="J108" s="113">
        <f>7865+1400</f>
        <v>9265</v>
      </c>
      <c r="K108" s="113"/>
      <c r="L108" s="113">
        <v>1700</v>
      </c>
      <c r="M108" s="335">
        <f>SUM(J108:L108)</f>
        <v>10965</v>
      </c>
      <c r="N108" s="359">
        <f>M108</f>
        <v>10965</v>
      </c>
      <c r="Q108"/>
    </row>
    <row r="109" spans="1:17" ht="16.899999999999999" customHeight="1">
      <c r="A109" s="106" t="s">
        <v>298</v>
      </c>
      <c r="B109" s="106" t="s">
        <v>62</v>
      </c>
      <c r="C109" s="33" t="s">
        <v>63</v>
      </c>
      <c r="D109" s="32" t="s">
        <v>299</v>
      </c>
      <c r="E109" s="34">
        <v>46215</v>
      </c>
      <c r="F109" s="34">
        <v>46256</v>
      </c>
      <c r="G109" s="32" t="s">
        <v>84</v>
      </c>
      <c r="H109" s="34" t="s">
        <v>66</v>
      </c>
      <c r="I109" s="34" t="s">
        <v>86</v>
      </c>
      <c r="J109" s="113">
        <v>5850</v>
      </c>
      <c r="K109" s="113"/>
      <c r="L109" s="113">
        <v>1700</v>
      </c>
      <c r="M109" s="335">
        <f>SUM(J109:L109)</f>
        <v>7550</v>
      </c>
      <c r="N109" s="359">
        <f>M109</f>
        <v>7550</v>
      </c>
      <c r="Q109"/>
    </row>
    <row r="110" spans="1:17" ht="16.899999999999999" customHeight="1">
      <c r="A110" s="106" t="s">
        <v>300</v>
      </c>
      <c r="B110" s="106" t="s">
        <v>62</v>
      </c>
      <c r="C110" s="33" t="s">
        <v>63</v>
      </c>
      <c r="D110" s="32" t="s">
        <v>301</v>
      </c>
      <c r="E110" s="34">
        <v>46217</v>
      </c>
      <c r="F110" s="34">
        <v>46249</v>
      </c>
      <c r="G110" s="32" t="s">
        <v>84</v>
      </c>
      <c r="H110" s="34" t="s">
        <v>85</v>
      </c>
      <c r="I110" s="34" t="s">
        <v>86</v>
      </c>
      <c r="J110" s="113">
        <v>5350</v>
      </c>
      <c r="K110" s="113"/>
      <c r="L110" s="113">
        <v>1700</v>
      </c>
      <c r="M110" s="335">
        <f>SUM(J110:L110)</f>
        <v>7050</v>
      </c>
      <c r="N110" s="359">
        <f>M110</f>
        <v>7050</v>
      </c>
      <c r="Q110"/>
    </row>
    <row r="111" spans="1:17" ht="16.899999999999999" customHeight="1">
      <c r="A111" s="106" t="s">
        <v>302</v>
      </c>
      <c r="B111" s="106" t="s">
        <v>62</v>
      </c>
      <c r="C111" s="33" t="s">
        <v>63</v>
      </c>
      <c r="D111" s="32" t="s">
        <v>303</v>
      </c>
      <c r="E111" s="34">
        <v>46217</v>
      </c>
      <c r="F111" s="34">
        <v>46249</v>
      </c>
      <c r="G111" s="32" t="s">
        <v>84</v>
      </c>
      <c r="H111" s="34" t="s">
        <v>85</v>
      </c>
      <c r="I111" s="34" t="s">
        <v>86</v>
      </c>
      <c r="J111" s="113">
        <v>5350</v>
      </c>
      <c r="K111" s="113"/>
      <c r="L111" s="113">
        <v>1700</v>
      </c>
      <c r="M111" s="335">
        <f>SUM(J111:L111)</f>
        <v>7050</v>
      </c>
      <c r="N111" s="359">
        <f>M111</f>
        <v>7050</v>
      </c>
      <c r="Q111"/>
    </row>
    <row r="112" spans="1:17" ht="16.899999999999999" customHeight="1">
      <c r="A112" s="106" t="s">
        <v>304</v>
      </c>
      <c r="B112" s="106" t="s">
        <v>62</v>
      </c>
      <c r="C112" s="33" t="s">
        <v>63</v>
      </c>
      <c r="D112" s="32" t="s">
        <v>305</v>
      </c>
      <c r="E112" s="34">
        <v>46217</v>
      </c>
      <c r="F112" s="34">
        <v>46249</v>
      </c>
      <c r="G112" s="32" t="s">
        <v>84</v>
      </c>
      <c r="H112" s="34" t="s">
        <v>85</v>
      </c>
      <c r="I112" s="34" t="s">
        <v>86</v>
      </c>
      <c r="J112" s="113">
        <v>5350</v>
      </c>
      <c r="K112" s="113"/>
      <c r="L112" s="113">
        <v>1700</v>
      </c>
      <c r="M112" s="335">
        <f>SUM(J112:L112)</f>
        <v>7050</v>
      </c>
      <c r="N112" s="359">
        <f>M112</f>
        <v>7050</v>
      </c>
      <c r="Q112"/>
    </row>
    <row r="113" spans="1:17" ht="16.899999999999999" customHeight="1">
      <c r="A113" s="106" t="s">
        <v>306</v>
      </c>
      <c r="B113" s="106" t="s">
        <v>62</v>
      </c>
      <c r="C113" s="33" t="s">
        <v>63</v>
      </c>
      <c r="D113" s="32" t="s">
        <v>307</v>
      </c>
      <c r="E113" s="34">
        <v>46217</v>
      </c>
      <c r="F113" s="34">
        <v>46249</v>
      </c>
      <c r="G113" s="32" t="s">
        <v>84</v>
      </c>
      <c r="H113" s="34" t="s">
        <v>85</v>
      </c>
      <c r="I113" s="34" t="s">
        <v>86</v>
      </c>
      <c r="J113" s="113">
        <v>5350</v>
      </c>
      <c r="K113" s="113"/>
      <c r="L113" s="113">
        <v>1700</v>
      </c>
      <c r="M113" s="335">
        <f>SUM(J113:L113)</f>
        <v>7050</v>
      </c>
      <c r="N113" s="359">
        <f>M113</f>
        <v>7050</v>
      </c>
      <c r="Q113"/>
    </row>
    <row r="114" spans="1:17" ht="16.899999999999999" customHeight="1">
      <c r="A114" s="106" t="s">
        <v>308</v>
      </c>
      <c r="B114" s="106" t="s">
        <v>62</v>
      </c>
      <c r="C114" s="33" t="s">
        <v>63</v>
      </c>
      <c r="D114" s="32" t="s">
        <v>309</v>
      </c>
      <c r="E114" s="34">
        <v>46217</v>
      </c>
      <c r="F114" s="34">
        <v>46249</v>
      </c>
      <c r="G114" s="32" t="s">
        <v>84</v>
      </c>
      <c r="H114" s="34" t="s">
        <v>85</v>
      </c>
      <c r="I114" s="34" t="s">
        <v>86</v>
      </c>
      <c r="J114" s="113">
        <v>5350</v>
      </c>
      <c r="K114" s="113"/>
      <c r="L114" s="113">
        <v>1700</v>
      </c>
      <c r="M114" s="335">
        <f>SUM(J114:L114)</f>
        <v>7050</v>
      </c>
      <c r="N114" s="359">
        <f>M114</f>
        <v>7050</v>
      </c>
      <c r="Q114"/>
    </row>
    <row r="115" spans="1:17" ht="16.899999999999999" customHeight="1">
      <c r="A115" s="106" t="s">
        <v>310</v>
      </c>
      <c r="B115" s="106" t="s">
        <v>62</v>
      </c>
      <c r="C115" s="33" t="s">
        <v>63</v>
      </c>
      <c r="D115" s="32" t="s">
        <v>311</v>
      </c>
      <c r="E115" s="34">
        <v>46217</v>
      </c>
      <c r="F115" s="34">
        <v>46249</v>
      </c>
      <c r="G115" s="32" t="s">
        <v>84</v>
      </c>
      <c r="H115" s="34" t="s">
        <v>85</v>
      </c>
      <c r="I115" s="34" t="s">
        <v>86</v>
      </c>
      <c r="J115" s="113">
        <v>5350</v>
      </c>
      <c r="K115" s="113"/>
      <c r="L115" s="113">
        <v>1700</v>
      </c>
      <c r="M115" s="335">
        <f>SUM(J115:L115)</f>
        <v>7050</v>
      </c>
      <c r="N115" s="359">
        <f>M115</f>
        <v>7050</v>
      </c>
      <c r="Q115"/>
    </row>
    <row r="116" spans="1:17" ht="16.899999999999999" customHeight="1">
      <c r="A116" s="106" t="s">
        <v>312</v>
      </c>
      <c r="B116" s="106" t="s">
        <v>62</v>
      </c>
      <c r="C116" s="33" t="s">
        <v>63</v>
      </c>
      <c r="D116" s="32" t="s">
        <v>313</v>
      </c>
      <c r="E116" s="34">
        <v>46217</v>
      </c>
      <c r="F116" s="34">
        <v>46249</v>
      </c>
      <c r="G116" s="32" t="s">
        <v>84</v>
      </c>
      <c r="H116" s="34" t="s">
        <v>85</v>
      </c>
      <c r="I116" s="34" t="s">
        <v>105</v>
      </c>
      <c r="J116" s="113">
        <v>5350</v>
      </c>
      <c r="K116" s="113"/>
      <c r="L116" s="113">
        <v>0</v>
      </c>
      <c r="M116" s="335">
        <f>SUM(J116:L116)</f>
        <v>5350</v>
      </c>
      <c r="N116" s="359">
        <f>M116</f>
        <v>5350</v>
      </c>
      <c r="Q116"/>
    </row>
    <row r="117" spans="1:17" ht="16.899999999999999" customHeight="1">
      <c r="A117" s="106" t="s">
        <v>314</v>
      </c>
      <c r="B117" s="106" t="s">
        <v>62</v>
      </c>
      <c r="C117" s="33" t="s">
        <v>63</v>
      </c>
      <c r="D117" s="32" t="s">
        <v>315</v>
      </c>
      <c r="E117" s="34">
        <v>46221</v>
      </c>
      <c r="F117" s="34">
        <v>46252</v>
      </c>
      <c r="G117" s="32" t="s">
        <v>100</v>
      </c>
      <c r="H117" s="34" t="s">
        <v>316</v>
      </c>
      <c r="I117" s="34" t="s">
        <v>105</v>
      </c>
      <c r="J117" s="113">
        <v>5500</v>
      </c>
      <c r="K117" s="113"/>
      <c r="L117" s="113">
        <v>0</v>
      </c>
      <c r="M117" s="335">
        <f>SUM(J117:L117)</f>
        <v>5500</v>
      </c>
      <c r="N117" s="359">
        <f>M117</f>
        <v>5500</v>
      </c>
      <c r="Q117"/>
    </row>
    <row r="118" spans="1:17" ht="16.899999999999999" customHeight="1">
      <c r="A118" s="106" t="s">
        <v>317</v>
      </c>
      <c r="B118" s="106" t="s">
        <v>62</v>
      </c>
      <c r="C118" s="33" t="s">
        <v>63</v>
      </c>
      <c r="D118" s="32" t="s">
        <v>318</v>
      </c>
      <c r="E118" s="34">
        <v>46217</v>
      </c>
      <c r="F118" s="34">
        <v>46249</v>
      </c>
      <c r="G118" s="32" t="s">
        <v>84</v>
      </c>
      <c r="H118" s="34" t="s">
        <v>85</v>
      </c>
      <c r="I118" s="34" t="s">
        <v>86</v>
      </c>
      <c r="J118" s="113">
        <v>5350</v>
      </c>
      <c r="K118" s="113"/>
      <c r="L118" s="113">
        <v>1700</v>
      </c>
      <c r="M118" s="335">
        <f>SUM(J118:L118)</f>
        <v>7050</v>
      </c>
      <c r="N118" s="359">
        <f>M118</f>
        <v>7050</v>
      </c>
      <c r="Q118"/>
    </row>
    <row r="119" spans="1:17" ht="16.899999999999999" customHeight="1">
      <c r="A119" s="106" t="s">
        <v>319</v>
      </c>
      <c r="B119" s="106" t="s">
        <v>62</v>
      </c>
      <c r="C119" s="33" t="s">
        <v>63</v>
      </c>
      <c r="D119" s="32" t="s">
        <v>320</v>
      </c>
      <c r="E119" s="34">
        <v>46222</v>
      </c>
      <c r="F119" s="34">
        <v>46253</v>
      </c>
      <c r="G119" s="32" t="s">
        <v>84</v>
      </c>
      <c r="H119" s="34" t="s">
        <v>66</v>
      </c>
      <c r="I119" s="34" t="s">
        <v>86</v>
      </c>
      <c r="J119" s="113">
        <v>5350</v>
      </c>
      <c r="K119" s="113"/>
      <c r="L119" s="113">
        <v>1700</v>
      </c>
      <c r="M119" s="335">
        <f>SUM(J119:L119)</f>
        <v>7050</v>
      </c>
      <c r="N119" s="359">
        <f>M119</f>
        <v>7050</v>
      </c>
      <c r="Q119"/>
    </row>
    <row r="120" spans="1:17" ht="16.899999999999999" customHeight="1">
      <c r="A120" s="106" t="s">
        <v>321</v>
      </c>
      <c r="B120" s="106" t="s">
        <v>62</v>
      </c>
      <c r="C120" s="33" t="s">
        <v>63</v>
      </c>
      <c r="D120" s="32" t="s">
        <v>322</v>
      </c>
      <c r="E120" s="34">
        <v>46231</v>
      </c>
      <c r="F120" s="34">
        <v>46273</v>
      </c>
      <c r="G120" s="32" t="s">
        <v>149</v>
      </c>
      <c r="H120" s="34" t="s">
        <v>66</v>
      </c>
      <c r="I120" s="34" t="s">
        <v>86</v>
      </c>
      <c r="J120" s="113">
        <v>4700</v>
      </c>
      <c r="K120" s="113"/>
      <c r="L120" s="113">
        <v>1700</v>
      </c>
      <c r="M120" s="335">
        <f>SUM(J120:L120)</f>
        <v>6400</v>
      </c>
      <c r="N120" s="359">
        <f>M120</f>
        <v>6400</v>
      </c>
      <c r="Q120"/>
    </row>
    <row r="121" spans="1:17" ht="16.899999999999999" customHeight="1">
      <c r="A121" s="106" t="s">
        <v>323</v>
      </c>
      <c r="B121" s="106" t="s">
        <v>62</v>
      </c>
      <c r="C121" s="33" t="s">
        <v>63</v>
      </c>
      <c r="D121" s="32" t="s">
        <v>324</v>
      </c>
      <c r="E121" s="34">
        <v>46222</v>
      </c>
      <c r="F121" s="34">
        <v>46253</v>
      </c>
      <c r="G121" s="32" t="s">
        <v>84</v>
      </c>
      <c r="H121" s="34" t="s">
        <v>66</v>
      </c>
      <c r="I121" s="34" t="s">
        <v>105</v>
      </c>
      <c r="J121" s="113">
        <v>5350</v>
      </c>
      <c r="K121" s="113"/>
      <c r="L121" s="113">
        <v>0</v>
      </c>
      <c r="M121" s="335">
        <f>SUM(J121:L121)</f>
        <v>5350</v>
      </c>
      <c r="N121" s="359">
        <f>M121</f>
        <v>5350</v>
      </c>
      <c r="Q121"/>
    </row>
    <row r="122" spans="1:17" ht="16.899999999999999" customHeight="1">
      <c r="A122" s="106" t="s">
        <v>325</v>
      </c>
      <c r="B122" s="106" t="s">
        <v>62</v>
      </c>
      <c r="C122" s="33" t="s">
        <v>63</v>
      </c>
      <c r="D122" s="32" t="s">
        <v>326</v>
      </c>
      <c r="E122" s="34">
        <v>46222</v>
      </c>
      <c r="F122" s="34">
        <v>46263</v>
      </c>
      <c r="G122" s="32" t="s">
        <v>84</v>
      </c>
      <c r="H122" s="34" t="s">
        <v>66</v>
      </c>
      <c r="I122" s="34" t="s">
        <v>86</v>
      </c>
      <c r="J122" s="113">
        <v>5350</v>
      </c>
      <c r="K122" s="113"/>
      <c r="L122" s="113">
        <v>1700</v>
      </c>
      <c r="M122" s="335">
        <f>SUM(J122:L122)</f>
        <v>7050</v>
      </c>
      <c r="N122" s="359">
        <f>M122</f>
        <v>7050</v>
      </c>
      <c r="Q122"/>
    </row>
    <row r="123" spans="1:17" ht="28.9" customHeight="1">
      <c r="A123" s="106" t="s">
        <v>327</v>
      </c>
      <c r="B123" s="106" t="s">
        <v>62</v>
      </c>
      <c r="C123" s="33" t="s">
        <v>63</v>
      </c>
      <c r="D123" s="32" t="s">
        <v>328</v>
      </c>
      <c r="E123" s="34">
        <v>46229</v>
      </c>
      <c r="F123" s="34">
        <v>46271</v>
      </c>
      <c r="G123" s="32" t="s">
        <v>84</v>
      </c>
      <c r="H123" s="34" t="s">
        <v>66</v>
      </c>
      <c r="I123" s="34" t="s">
        <v>86</v>
      </c>
      <c r="J123" s="113">
        <v>5150</v>
      </c>
      <c r="K123" s="113"/>
      <c r="L123" s="113">
        <v>1700</v>
      </c>
      <c r="M123" s="335">
        <f>SUM(J123:L123)</f>
        <v>6850</v>
      </c>
      <c r="N123" s="359">
        <f>M123</f>
        <v>6850</v>
      </c>
      <c r="Q123"/>
    </row>
    <row r="124" spans="1:17" ht="28.9" customHeight="1">
      <c r="A124" s="106" t="s">
        <v>329</v>
      </c>
      <c r="B124" s="106" t="s">
        <v>62</v>
      </c>
      <c r="C124" s="33" t="s">
        <v>63</v>
      </c>
      <c r="D124" s="32" t="s">
        <v>330</v>
      </c>
      <c r="E124" s="34">
        <v>46229</v>
      </c>
      <c r="F124" s="34">
        <v>46271</v>
      </c>
      <c r="G124" s="32" t="s">
        <v>84</v>
      </c>
      <c r="H124" s="34" t="s">
        <v>66</v>
      </c>
      <c r="I124" s="34" t="s">
        <v>86</v>
      </c>
      <c r="J124" s="113">
        <v>5150</v>
      </c>
      <c r="K124" s="113"/>
      <c r="L124" s="113">
        <v>1700</v>
      </c>
      <c r="M124" s="335">
        <f>SUM(J124:L124)</f>
        <v>6850</v>
      </c>
      <c r="N124" s="359">
        <f>M124</f>
        <v>6850</v>
      </c>
      <c r="Q124"/>
    </row>
    <row r="125" spans="1:17" ht="16.899999999999999" customHeight="1">
      <c r="A125" s="106" t="s">
        <v>331</v>
      </c>
      <c r="B125" s="106" t="s">
        <v>62</v>
      </c>
      <c r="C125" s="33" t="s">
        <v>63</v>
      </c>
      <c r="D125" s="32" t="s">
        <v>332</v>
      </c>
      <c r="E125" s="34">
        <v>46231</v>
      </c>
      <c r="F125" s="34">
        <v>46273</v>
      </c>
      <c r="G125" s="32" t="s">
        <v>149</v>
      </c>
      <c r="H125" s="34" t="s">
        <v>66</v>
      </c>
      <c r="I125" s="34" t="s">
        <v>86</v>
      </c>
      <c r="J125" s="113">
        <v>4700</v>
      </c>
      <c r="K125" s="113"/>
      <c r="L125" s="113">
        <v>1700</v>
      </c>
      <c r="M125" s="335">
        <f>SUM(J125:L125)</f>
        <v>6400</v>
      </c>
      <c r="N125" s="359">
        <f>M125</f>
        <v>6400</v>
      </c>
      <c r="Q125"/>
    </row>
    <row r="126" spans="1:17" ht="16.899999999999999" customHeight="1">
      <c r="A126" s="106" t="s">
        <v>333</v>
      </c>
      <c r="B126" s="106" t="s">
        <v>62</v>
      </c>
      <c r="C126" s="33" t="s">
        <v>63</v>
      </c>
      <c r="D126" s="32" t="s">
        <v>334</v>
      </c>
      <c r="E126" s="34">
        <v>46229</v>
      </c>
      <c r="F126" s="34">
        <v>46271</v>
      </c>
      <c r="G126" s="32" t="s">
        <v>84</v>
      </c>
      <c r="H126" s="34" t="s">
        <v>66</v>
      </c>
      <c r="I126" s="34" t="s">
        <v>86</v>
      </c>
      <c r="J126" s="113">
        <v>5200</v>
      </c>
      <c r="K126" s="113"/>
      <c r="L126" s="113">
        <v>1700</v>
      </c>
      <c r="M126" s="335">
        <f>SUM(J126:L126)</f>
        <v>6900</v>
      </c>
      <c r="N126" s="359">
        <f>M126</f>
        <v>6900</v>
      </c>
      <c r="Q126"/>
    </row>
    <row r="127" spans="1:17" ht="16.899999999999999" customHeight="1">
      <c r="A127" s="106" t="s">
        <v>335</v>
      </c>
      <c r="B127" s="106" t="s">
        <v>62</v>
      </c>
      <c r="C127" s="33" t="s">
        <v>63</v>
      </c>
      <c r="D127" s="32" t="s">
        <v>336</v>
      </c>
      <c r="E127" s="34">
        <v>46231</v>
      </c>
      <c r="F127" s="34">
        <v>46273</v>
      </c>
      <c r="G127" s="32" t="s">
        <v>149</v>
      </c>
      <c r="H127" s="34" t="s">
        <v>66</v>
      </c>
      <c r="I127" s="34" t="s">
        <v>86</v>
      </c>
      <c r="J127" s="113">
        <v>4700</v>
      </c>
      <c r="K127" s="113"/>
      <c r="L127" s="113">
        <v>1700</v>
      </c>
      <c r="M127" s="335">
        <f>SUM(J127:L127)</f>
        <v>6400</v>
      </c>
      <c r="N127" s="359">
        <f>M127</f>
        <v>6400</v>
      </c>
      <c r="Q127"/>
    </row>
    <row r="128" spans="1:17" ht="16.899999999999999" customHeight="1">
      <c r="A128" s="106" t="s">
        <v>337</v>
      </c>
      <c r="B128" s="106" t="s">
        <v>62</v>
      </c>
      <c r="C128" s="33" t="s">
        <v>63</v>
      </c>
      <c r="D128" s="32" t="s">
        <v>338</v>
      </c>
      <c r="E128" s="34">
        <v>46231</v>
      </c>
      <c r="F128" s="34">
        <v>46273</v>
      </c>
      <c r="G128" s="32" t="s">
        <v>149</v>
      </c>
      <c r="H128" s="34" t="s">
        <v>66</v>
      </c>
      <c r="I128" s="34" t="s">
        <v>86</v>
      </c>
      <c r="J128" s="113">
        <v>4700</v>
      </c>
      <c r="K128" s="113"/>
      <c r="L128" s="113">
        <v>1700</v>
      </c>
      <c r="M128" s="335">
        <f>SUM(J128:L128)</f>
        <v>6400</v>
      </c>
      <c r="N128" s="359">
        <f>M128</f>
        <v>6400</v>
      </c>
      <c r="Q128"/>
    </row>
    <row r="129" spans="1:17" ht="16.899999999999999" customHeight="1">
      <c r="A129" s="106" t="s">
        <v>339</v>
      </c>
      <c r="B129" s="106" t="s">
        <v>62</v>
      </c>
      <c r="C129" s="33" t="s">
        <v>63</v>
      </c>
      <c r="D129" s="32" t="s">
        <v>340</v>
      </c>
      <c r="E129" s="34">
        <v>46229</v>
      </c>
      <c r="F129" s="34">
        <v>46271</v>
      </c>
      <c r="G129" s="32" t="s">
        <v>149</v>
      </c>
      <c r="H129" s="34" t="s">
        <v>85</v>
      </c>
      <c r="I129" s="34" t="s">
        <v>86</v>
      </c>
      <c r="J129" s="113">
        <v>4700</v>
      </c>
      <c r="K129" s="113"/>
      <c r="L129" s="113">
        <v>1700</v>
      </c>
      <c r="M129" s="335">
        <f>SUM(J129:L129)</f>
        <v>6400</v>
      </c>
      <c r="N129" s="359">
        <f>M129</f>
        <v>6400</v>
      </c>
      <c r="Q129"/>
    </row>
    <row r="130" spans="1:17" ht="16.899999999999999" customHeight="1">
      <c r="A130" s="106" t="s">
        <v>341</v>
      </c>
      <c r="B130" s="106" t="s">
        <v>62</v>
      </c>
      <c r="C130" s="33" t="s">
        <v>63</v>
      </c>
      <c r="D130" s="32" t="s">
        <v>342</v>
      </c>
      <c r="E130" s="34">
        <v>46236</v>
      </c>
      <c r="F130" s="34">
        <v>46267</v>
      </c>
      <c r="G130" s="32" t="s">
        <v>84</v>
      </c>
      <c r="H130" s="34" t="s">
        <v>343</v>
      </c>
      <c r="I130" s="34" t="s">
        <v>105</v>
      </c>
      <c r="J130" s="113">
        <v>5350</v>
      </c>
      <c r="K130" s="113"/>
      <c r="L130" s="113">
        <v>0</v>
      </c>
      <c r="M130" s="335">
        <f>SUM(J130:L130)</f>
        <v>5350</v>
      </c>
      <c r="N130" s="359">
        <f>M130</f>
        <v>5350</v>
      </c>
      <c r="Q130"/>
    </row>
    <row r="131" spans="1:17" ht="16.899999999999999" customHeight="1">
      <c r="A131" s="106" t="s">
        <v>344</v>
      </c>
      <c r="B131" s="106" t="s">
        <v>62</v>
      </c>
      <c r="C131" s="33" t="s">
        <v>63</v>
      </c>
      <c r="D131" s="32" t="s">
        <v>345</v>
      </c>
      <c r="E131" s="34">
        <v>46231</v>
      </c>
      <c r="F131" s="34">
        <v>46261</v>
      </c>
      <c r="G131" s="32" t="s">
        <v>84</v>
      </c>
      <c r="H131" s="34" t="s">
        <v>85</v>
      </c>
      <c r="I131" s="34" t="s">
        <v>105</v>
      </c>
      <c r="J131" s="113">
        <v>5000</v>
      </c>
      <c r="K131" s="113"/>
      <c r="L131" s="113">
        <v>0</v>
      </c>
      <c r="M131" s="335">
        <f>SUM(J131:L131)</f>
        <v>5000</v>
      </c>
      <c r="N131" s="359">
        <f>M131</f>
        <v>5000</v>
      </c>
      <c r="Q131"/>
    </row>
    <row r="132" spans="1:17" ht="15">
      <c r="A132" s="106" t="s">
        <v>346</v>
      </c>
      <c r="B132" s="106" t="s">
        <v>62</v>
      </c>
      <c r="C132" s="33" t="s">
        <v>63</v>
      </c>
      <c r="D132" s="32" t="s">
        <v>347</v>
      </c>
      <c r="E132" s="34">
        <v>46236</v>
      </c>
      <c r="F132" s="34">
        <v>46277</v>
      </c>
      <c r="G132" s="32" t="s">
        <v>84</v>
      </c>
      <c r="H132" s="34" t="s">
        <v>343</v>
      </c>
      <c r="I132" s="34" t="s">
        <v>86</v>
      </c>
      <c r="J132" s="113">
        <v>5350</v>
      </c>
      <c r="K132" s="113"/>
      <c r="L132" s="113">
        <v>1700</v>
      </c>
      <c r="M132" s="335">
        <f>SUM(J132:L132)</f>
        <v>7050</v>
      </c>
      <c r="N132" s="359">
        <f>M132</f>
        <v>7050</v>
      </c>
      <c r="Q132"/>
    </row>
    <row r="133" spans="1:17" ht="15">
      <c r="A133" s="106" t="s">
        <v>348</v>
      </c>
      <c r="B133" s="106" t="s">
        <v>62</v>
      </c>
      <c r="C133" s="33" t="s">
        <v>63</v>
      </c>
      <c r="D133" s="32" t="s">
        <v>349</v>
      </c>
      <c r="E133" s="34">
        <v>46236</v>
      </c>
      <c r="F133" s="34">
        <v>46267</v>
      </c>
      <c r="G133" s="32" t="s">
        <v>84</v>
      </c>
      <c r="H133" s="34" t="s">
        <v>66</v>
      </c>
      <c r="I133" s="34" t="s">
        <v>86</v>
      </c>
      <c r="J133" s="113">
        <v>5050</v>
      </c>
      <c r="K133" s="113"/>
      <c r="L133" s="113">
        <v>1700</v>
      </c>
      <c r="M133" s="335">
        <f>SUM(J133:L133)</f>
        <v>6750</v>
      </c>
      <c r="N133" s="359">
        <f>M133</f>
        <v>6750</v>
      </c>
      <c r="Q133"/>
    </row>
    <row r="134" spans="1:17" ht="27" customHeight="1">
      <c r="A134" s="106" t="s">
        <v>350</v>
      </c>
      <c r="B134" s="106" t="s">
        <v>62</v>
      </c>
      <c r="C134" s="33" t="s">
        <v>63</v>
      </c>
      <c r="D134" s="32" t="s">
        <v>351</v>
      </c>
      <c r="E134" s="34">
        <v>46236</v>
      </c>
      <c r="F134" s="34">
        <v>46267</v>
      </c>
      <c r="G134" s="32" t="s">
        <v>84</v>
      </c>
      <c r="H134" s="34" t="s">
        <v>66</v>
      </c>
      <c r="I134" s="34" t="s">
        <v>86</v>
      </c>
      <c r="J134" s="113">
        <v>5050</v>
      </c>
      <c r="K134" s="113"/>
      <c r="L134" s="113">
        <v>1700</v>
      </c>
      <c r="M134" s="335">
        <f>SUM(J134:L134)</f>
        <v>6750</v>
      </c>
      <c r="N134" s="359">
        <f>M134</f>
        <v>6750</v>
      </c>
      <c r="Q134"/>
    </row>
    <row r="135" spans="1:17" ht="15">
      <c r="A135" s="106" t="s">
        <v>352</v>
      </c>
      <c r="B135" s="106" t="s">
        <v>62</v>
      </c>
      <c r="C135" s="33" t="s">
        <v>63</v>
      </c>
      <c r="D135" s="32" t="s">
        <v>353</v>
      </c>
      <c r="E135" s="34">
        <v>46236</v>
      </c>
      <c r="F135" s="34">
        <v>46277</v>
      </c>
      <c r="G135" s="32" t="s">
        <v>84</v>
      </c>
      <c r="H135" s="34" t="s">
        <v>343</v>
      </c>
      <c r="I135" s="34" t="s">
        <v>86</v>
      </c>
      <c r="J135" s="113">
        <v>5350</v>
      </c>
      <c r="K135" s="113"/>
      <c r="L135" s="113">
        <v>1700</v>
      </c>
      <c r="M135" s="335">
        <f>SUM(J135:L135)</f>
        <v>7050</v>
      </c>
      <c r="N135" s="359">
        <f>M135</f>
        <v>7050</v>
      </c>
      <c r="Q135"/>
    </row>
    <row r="136" spans="1:17" ht="15">
      <c r="A136" s="106" t="s">
        <v>354</v>
      </c>
      <c r="B136" s="106" t="s">
        <v>62</v>
      </c>
      <c r="C136" s="33" t="s">
        <v>63</v>
      </c>
      <c r="D136" s="32" t="s">
        <v>355</v>
      </c>
      <c r="E136" s="34">
        <v>46236</v>
      </c>
      <c r="F136" s="34">
        <v>46258</v>
      </c>
      <c r="G136" s="32" t="s">
        <v>84</v>
      </c>
      <c r="H136" s="34" t="s">
        <v>66</v>
      </c>
      <c r="I136" s="34" t="s">
        <v>105</v>
      </c>
      <c r="J136" s="113">
        <v>5050</v>
      </c>
      <c r="K136" s="113"/>
      <c r="L136" s="113">
        <v>0</v>
      </c>
      <c r="M136" s="335">
        <f>SUM(J136:L136)</f>
        <v>5050</v>
      </c>
      <c r="N136" s="359">
        <f>M136</f>
        <v>5050</v>
      </c>
      <c r="Q136"/>
    </row>
    <row r="137" spans="1:17" ht="15">
      <c r="A137" s="106" t="s">
        <v>356</v>
      </c>
      <c r="B137" s="106" t="s">
        <v>62</v>
      </c>
      <c r="C137" s="33" t="s">
        <v>63</v>
      </c>
      <c r="D137" s="32" t="s">
        <v>357</v>
      </c>
      <c r="E137" s="34">
        <v>46236</v>
      </c>
      <c r="F137" s="34">
        <v>46267</v>
      </c>
      <c r="G137" s="32" t="s">
        <v>84</v>
      </c>
      <c r="H137" s="34" t="s">
        <v>66</v>
      </c>
      <c r="I137" s="34" t="s">
        <v>86</v>
      </c>
      <c r="J137" s="113">
        <v>5050</v>
      </c>
      <c r="K137" s="113"/>
      <c r="L137" s="113">
        <v>1700</v>
      </c>
      <c r="M137" s="335">
        <f>SUM(J137:L137)</f>
        <v>6750</v>
      </c>
      <c r="N137" s="359">
        <f>M137</f>
        <v>6750</v>
      </c>
      <c r="Q137"/>
    </row>
    <row r="138" spans="1:17" ht="15">
      <c r="A138" s="106" t="s">
        <v>358</v>
      </c>
      <c r="B138" s="106" t="s">
        <v>62</v>
      </c>
      <c r="C138" s="33" t="s">
        <v>63</v>
      </c>
      <c r="D138" s="32" t="s">
        <v>359</v>
      </c>
      <c r="E138" s="34">
        <v>46236</v>
      </c>
      <c r="F138" s="34">
        <v>46267</v>
      </c>
      <c r="G138" s="32" t="s">
        <v>84</v>
      </c>
      <c r="H138" s="34" t="s">
        <v>66</v>
      </c>
      <c r="I138" s="34" t="s">
        <v>86</v>
      </c>
      <c r="J138" s="113">
        <v>5050</v>
      </c>
      <c r="K138" s="113"/>
      <c r="L138" s="113">
        <v>1700</v>
      </c>
      <c r="M138" s="335">
        <f>SUM(J138:L138)</f>
        <v>6750</v>
      </c>
      <c r="N138" s="359">
        <f>M138</f>
        <v>6750</v>
      </c>
      <c r="Q138"/>
    </row>
    <row r="139" spans="1:17" ht="15">
      <c r="A139" s="106" t="s">
        <v>360</v>
      </c>
      <c r="B139" s="106" t="s">
        <v>62</v>
      </c>
      <c r="C139" s="33" t="s">
        <v>63</v>
      </c>
      <c r="D139" s="32" t="s">
        <v>361</v>
      </c>
      <c r="E139" s="34">
        <v>46236</v>
      </c>
      <c r="F139" s="34">
        <v>46267</v>
      </c>
      <c r="G139" s="32" t="s">
        <v>84</v>
      </c>
      <c r="H139" s="34" t="s">
        <v>66</v>
      </c>
      <c r="I139" s="34" t="s">
        <v>86</v>
      </c>
      <c r="J139" s="113">
        <v>5050</v>
      </c>
      <c r="K139" s="113"/>
      <c r="L139" s="113">
        <v>1700</v>
      </c>
      <c r="M139" s="335">
        <f>SUM(J139:L139)</f>
        <v>6750</v>
      </c>
      <c r="N139" s="359">
        <f>M139</f>
        <v>6750</v>
      </c>
      <c r="Q139"/>
    </row>
    <row r="140" spans="1:17" ht="29.45" customHeight="1">
      <c r="A140" s="106" t="s">
        <v>362</v>
      </c>
      <c r="B140" s="106" t="s">
        <v>62</v>
      </c>
      <c r="C140" s="33" t="s">
        <v>63</v>
      </c>
      <c r="D140" s="32" t="s">
        <v>363</v>
      </c>
      <c r="E140" s="34">
        <v>46239</v>
      </c>
      <c r="F140" s="34">
        <v>46277</v>
      </c>
      <c r="G140" s="32" t="s">
        <v>65</v>
      </c>
      <c r="H140" s="34" t="s">
        <v>85</v>
      </c>
      <c r="I140" s="34" t="s">
        <v>86</v>
      </c>
      <c r="J140" s="113">
        <v>5700</v>
      </c>
      <c r="K140" s="113"/>
      <c r="L140" s="113">
        <v>1700</v>
      </c>
      <c r="M140" s="335">
        <f>SUM(J140:L140)</f>
        <v>7400</v>
      </c>
      <c r="N140" s="359">
        <f>M140</f>
        <v>7400</v>
      </c>
      <c r="Q140"/>
    </row>
    <row r="141" spans="1:17" ht="29.45" customHeight="1">
      <c r="A141" s="106" t="s">
        <v>364</v>
      </c>
      <c r="B141" s="106" t="s">
        <v>62</v>
      </c>
      <c r="C141" s="33" t="s">
        <v>63</v>
      </c>
      <c r="D141" s="32" t="s">
        <v>365</v>
      </c>
      <c r="E141" s="34">
        <v>46247</v>
      </c>
      <c r="F141" s="34">
        <v>46283</v>
      </c>
      <c r="G141" s="32" t="s">
        <v>65</v>
      </c>
      <c r="H141" s="34" t="s">
        <v>66</v>
      </c>
      <c r="I141" s="34" t="s">
        <v>86</v>
      </c>
      <c r="J141" s="113">
        <v>6300</v>
      </c>
      <c r="K141" s="113"/>
      <c r="L141" s="113">
        <v>1700</v>
      </c>
      <c r="M141" s="335">
        <f>SUM(J141:L141)</f>
        <v>8000</v>
      </c>
      <c r="N141" s="359">
        <f>M141</f>
        <v>8000</v>
      </c>
      <c r="Q141"/>
    </row>
    <row r="142" spans="1:17" ht="29.45" customHeight="1">
      <c r="A142" s="106" t="s">
        <v>366</v>
      </c>
      <c r="B142" s="106" t="s">
        <v>62</v>
      </c>
      <c r="C142" s="33" t="s">
        <v>63</v>
      </c>
      <c r="D142" s="32" t="s">
        <v>367</v>
      </c>
      <c r="E142" s="34">
        <v>46247</v>
      </c>
      <c r="F142" s="34">
        <v>46273</v>
      </c>
      <c r="G142" s="32" t="s">
        <v>65</v>
      </c>
      <c r="H142" s="34" t="s">
        <v>66</v>
      </c>
      <c r="I142" s="34" t="s">
        <v>105</v>
      </c>
      <c r="J142" s="113">
        <v>6300</v>
      </c>
      <c r="K142" s="113"/>
      <c r="L142" s="113">
        <v>0</v>
      </c>
      <c r="M142" s="335">
        <f>SUM(J142:L142)</f>
        <v>6300</v>
      </c>
      <c r="N142" s="359">
        <f>M142</f>
        <v>6300</v>
      </c>
      <c r="Q142"/>
    </row>
    <row r="143" spans="1:17" ht="29.45" customHeight="1">
      <c r="A143" s="106" t="s">
        <v>368</v>
      </c>
      <c r="B143" s="106" t="s">
        <v>62</v>
      </c>
      <c r="C143" s="33" t="s">
        <v>63</v>
      </c>
      <c r="D143" s="32" t="s">
        <v>369</v>
      </c>
      <c r="E143" s="34">
        <v>46245</v>
      </c>
      <c r="F143" s="34">
        <v>46286</v>
      </c>
      <c r="G143" s="32" t="s">
        <v>84</v>
      </c>
      <c r="H143" s="34" t="s">
        <v>66</v>
      </c>
      <c r="I143" s="34" t="s">
        <v>86</v>
      </c>
      <c r="J143" s="113">
        <v>6400</v>
      </c>
      <c r="K143" s="113"/>
      <c r="L143" s="113">
        <v>1700</v>
      </c>
      <c r="M143" s="335">
        <f>SUM(J143:L143)</f>
        <v>8100</v>
      </c>
      <c r="N143" s="359">
        <f>M143</f>
        <v>8100</v>
      </c>
      <c r="Q143"/>
    </row>
    <row r="144" spans="1:17" ht="29.45" customHeight="1">
      <c r="A144" s="106" t="s">
        <v>370</v>
      </c>
      <c r="B144" s="106" t="s">
        <v>62</v>
      </c>
      <c r="C144" s="33" t="s">
        <v>63</v>
      </c>
      <c r="D144" s="32" t="s">
        <v>371</v>
      </c>
      <c r="E144" s="34">
        <v>46245</v>
      </c>
      <c r="F144" s="34">
        <v>46286</v>
      </c>
      <c r="G144" s="32" t="s">
        <v>84</v>
      </c>
      <c r="H144" s="34" t="s">
        <v>66</v>
      </c>
      <c r="I144" s="34" t="s">
        <v>86</v>
      </c>
      <c r="J144" s="113">
        <v>6400</v>
      </c>
      <c r="K144" s="113"/>
      <c r="L144" s="113">
        <v>1700</v>
      </c>
      <c r="M144" s="335">
        <f>SUM(J144:L144)</f>
        <v>8100</v>
      </c>
      <c r="N144" s="359">
        <f>M144</f>
        <v>8100</v>
      </c>
      <c r="Q144"/>
    </row>
    <row r="145" spans="1:17" ht="29.45" customHeight="1">
      <c r="A145" s="106" t="s">
        <v>372</v>
      </c>
      <c r="B145" s="106" t="s">
        <v>62</v>
      </c>
      <c r="C145" s="33" t="s">
        <v>63</v>
      </c>
      <c r="D145" s="32" t="s">
        <v>373</v>
      </c>
      <c r="E145" s="34">
        <v>46248</v>
      </c>
      <c r="F145" s="34">
        <v>46291</v>
      </c>
      <c r="G145" s="32" t="s">
        <v>65</v>
      </c>
      <c r="H145" s="34" t="s">
        <v>343</v>
      </c>
      <c r="I145" s="34" t="s">
        <v>86</v>
      </c>
      <c r="J145" s="113">
        <v>6600</v>
      </c>
      <c r="K145" s="113"/>
      <c r="L145" s="113">
        <v>1700</v>
      </c>
      <c r="M145" s="335">
        <f>SUM(J145:L145)</f>
        <v>8300</v>
      </c>
      <c r="N145" s="359">
        <f>M145</f>
        <v>8300</v>
      </c>
      <c r="Q145"/>
    </row>
    <row r="146" spans="1:17" ht="29.45" customHeight="1">
      <c r="A146" s="106" t="s">
        <v>374</v>
      </c>
      <c r="B146" s="106" t="s">
        <v>62</v>
      </c>
      <c r="C146" s="33" t="s">
        <v>63</v>
      </c>
      <c r="D146" s="32" t="s">
        <v>375</v>
      </c>
      <c r="E146" s="34">
        <v>46248</v>
      </c>
      <c r="F146" s="34">
        <v>46291</v>
      </c>
      <c r="G146" s="32" t="s">
        <v>65</v>
      </c>
      <c r="H146" s="34" t="s">
        <v>343</v>
      </c>
      <c r="I146" s="34" t="s">
        <v>86</v>
      </c>
      <c r="J146" s="113">
        <v>6600</v>
      </c>
      <c r="K146" s="113"/>
      <c r="L146" s="113">
        <v>1700</v>
      </c>
      <c r="M146" s="335">
        <f>SUM(J146:L146)</f>
        <v>8300</v>
      </c>
      <c r="N146" s="359">
        <f>M146</f>
        <v>8300</v>
      </c>
      <c r="Q146"/>
    </row>
    <row r="147" spans="1:17" ht="29.45" customHeight="1">
      <c r="A147" s="106" t="s">
        <v>376</v>
      </c>
      <c r="B147" s="106" t="s">
        <v>62</v>
      </c>
      <c r="C147" s="33" t="s">
        <v>63</v>
      </c>
      <c r="D147" s="32" t="s">
        <v>377</v>
      </c>
      <c r="E147" s="34">
        <v>46248</v>
      </c>
      <c r="F147" s="34">
        <v>46286</v>
      </c>
      <c r="G147" s="32" t="s">
        <v>84</v>
      </c>
      <c r="H147" s="34" t="s">
        <v>66</v>
      </c>
      <c r="I147" s="34" t="s">
        <v>86</v>
      </c>
      <c r="J147" s="113">
        <v>6400</v>
      </c>
      <c r="K147" s="113"/>
      <c r="L147" s="113">
        <v>1700</v>
      </c>
      <c r="M147" s="335">
        <f>SUM(J147:L147)</f>
        <v>8100</v>
      </c>
      <c r="N147" s="359">
        <f>M147</f>
        <v>8100</v>
      </c>
      <c r="Q147"/>
    </row>
    <row r="148" spans="1:17" ht="29.45" customHeight="1">
      <c r="A148" s="106" t="s">
        <v>378</v>
      </c>
      <c r="B148" s="106" t="s">
        <v>62</v>
      </c>
      <c r="C148" s="33" t="s">
        <v>63</v>
      </c>
      <c r="D148" s="32" t="s">
        <v>379</v>
      </c>
      <c r="E148" s="34">
        <v>46245</v>
      </c>
      <c r="F148" s="34">
        <v>46286</v>
      </c>
      <c r="G148" s="32" t="s">
        <v>84</v>
      </c>
      <c r="H148" s="34" t="s">
        <v>66</v>
      </c>
      <c r="I148" s="34" t="s">
        <v>86</v>
      </c>
      <c r="J148" s="113">
        <v>6400</v>
      </c>
      <c r="K148" s="113"/>
      <c r="L148" s="113">
        <v>1700</v>
      </c>
      <c r="M148" s="335">
        <f>SUM(J148:L148)</f>
        <v>8100</v>
      </c>
      <c r="N148" s="359">
        <f>M148</f>
        <v>8100</v>
      </c>
      <c r="Q148"/>
    </row>
    <row r="149" spans="1:17" ht="29.45" customHeight="1">
      <c r="A149" s="106" t="s">
        <v>380</v>
      </c>
      <c r="B149" s="106" t="s">
        <v>62</v>
      </c>
      <c r="C149" s="33" t="s">
        <v>63</v>
      </c>
      <c r="D149" s="32" t="s">
        <v>381</v>
      </c>
      <c r="E149" s="34">
        <v>46245</v>
      </c>
      <c r="F149" s="34">
        <v>46286</v>
      </c>
      <c r="G149" s="32" t="s">
        <v>84</v>
      </c>
      <c r="H149" s="34" t="s">
        <v>66</v>
      </c>
      <c r="I149" s="34" t="s">
        <v>86</v>
      </c>
      <c r="J149" s="113">
        <v>6400</v>
      </c>
      <c r="K149" s="113"/>
      <c r="L149" s="113">
        <v>1700</v>
      </c>
      <c r="M149" s="335">
        <f>SUM(J149:L149)</f>
        <v>8100</v>
      </c>
      <c r="N149" s="359">
        <f>M149</f>
        <v>8100</v>
      </c>
      <c r="Q149"/>
    </row>
    <row r="150" spans="1:17" ht="29.45" customHeight="1">
      <c r="A150" s="106" t="s">
        <v>382</v>
      </c>
      <c r="B150" s="106" t="s">
        <v>62</v>
      </c>
      <c r="C150" s="33" t="s">
        <v>63</v>
      </c>
      <c r="D150" s="32" t="s">
        <v>383</v>
      </c>
      <c r="E150" s="34">
        <v>46245</v>
      </c>
      <c r="F150" s="34">
        <v>46286</v>
      </c>
      <c r="G150" s="32" t="s">
        <v>84</v>
      </c>
      <c r="H150" s="34" t="s">
        <v>66</v>
      </c>
      <c r="I150" s="34" t="s">
        <v>86</v>
      </c>
      <c r="J150" s="113">
        <v>6400</v>
      </c>
      <c r="K150" s="113"/>
      <c r="L150" s="113">
        <v>1700</v>
      </c>
      <c r="M150" s="335">
        <f>SUM(J150:L150)</f>
        <v>8100</v>
      </c>
      <c r="N150" s="359">
        <f>M150</f>
        <v>8100</v>
      </c>
      <c r="Q150"/>
    </row>
    <row r="151" spans="1:17" ht="29.45" customHeight="1">
      <c r="A151" s="106" t="s">
        <v>384</v>
      </c>
      <c r="B151" s="106" t="s">
        <v>62</v>
      </c>
      <c r="C151" s="33" t="s">
        <v>63</v>
      </c>
      <c r="D151" s="32" t="s">
        <v>385</v>
      </c>
      <c r="E151" s="34">
        <v>46245</v>
      </c>
      <c r="F151" s="34">
        <v>46286</v>
      </c>
      <c r="G151" s="32" t="s">
        <v>84</v>
      </c>
      <c r="H151" s="34" t="s">
        <v>66</v>
      </c>
      <c r="I151" s="34" t="s">
        <v>86</v>
      </c>
      <c r="J151" s="113">
        <v>6400</v>
      </c>
      <c r="K151" s="113"/>
      <c r="L151" s="113">
        <v>1700</v>
      </c>
      <c r="M151" s="335">
        <f>SUM(J151:L151)</f>
        <v>8100</v>
      </c>
      <c r="N151" s="359">
        <f>M151</f>
        <v>8100</v>
      </c>
      <c r="Q151"/>
    </row>
    <row r="152" spans="1:17" ht="29.45" customHeight="1">
      <c r="A152" s="106" t="s">
        <v>386</v>
      </c>
      <c r="B152" s="106" t="s">
        <v>387</v>
      </c>
      <c r="C152" s="33" t="s">
        <v>63</v>
      </c>
      <c r="D152" s="32" t="s">
        <v>388</v>
      </c>
      <c r="E152" s="34">
        <v>46245</v>
      </c>
      <c r="F152" s="34">
        <v>46286</v>
      </c>
      <c r="G152" s="32" t="s">
        <v>84</v>
      </c>
      <c r="H152" s="34" t="s">
        <v>66</v>
      </c>
      <c r="I152" s="34" t="s">
        <v>86</v>
      </c>
      <c r="J152" s="113">
        <v>6400</v>
      </c>
      <c r="K152" s="113"/>
      <c r="L152" s="113">
        <v>1700</v>
      </c>
      <c r="M152" s="335">
        <f>SUM(J152:L152)</f>
        <v>8100</v>
      </c>
      <c r="N152" s="359">
        <f>M152</f>
        <v>8100</v>
      </c>
      <c r="Q152"/>
    </row>
    <row r="153" spans="1:17" ht="29.45" customHeight="1">
      <c r="A153" s="106" t="s">
        <v>389</v>
      </c>
      <c r="B153" s="106" t="s">
        <v>387</v>
      </c>
      <c r="C153" s="33" t="s">
        <v>63</v>
      </c>
      <c r="D153" s="32" t="s">
        <v>390</v>
      </c>
      <c r="E153" s="34">
        <v>46245</v>
      </c>
      <c r="F153" s="34">
        <v>46286</v>
      </c>
      <c r="G153" s="32" t="s">
        <v>84</v>
      </c>
      <c r="H153" s="34" t="s">
        <v>66</v>
      </c>
      <c r="I153" s="34" t="s">
        <v>86</v>
      </c>
      <c r="J153" s="113">
        <v>6400</v>
      </c>
      <c r="K153" s="113"/>
      <c r="L153" s="113">
        <v>1700</v>
      </c>
      <c r="M153" s="335">
        <f>SUM(J153:L153)</f>
        <v>8100</v>
      </c>
      <c r="N153" s="359">
        <f>M153</f>
        <v>8100</v>
      </c>
      <c r="Q153"/>
    </row>
    <row r="154" spans="1:17" ht="29.45" customHeight="1">
      <c r="A154" s="106" t="s">
        <v>391</v>
      </c>
      <c r="B154" s="106" t="s">
        <v>387</v>
      </c>
      <c r="C154" s="33" t="s">
        <v>63</v>
      </c>
      <c r="D154" s="32" t="s">
        <v>392</v>
      </c>
      <c r="E154" s="34">
        <v>46245</v>
      </c>
      <c r="F154" s="34">
        <v>46286</v>
      </c>
      <c r="G154" s="32" t="s">
        <v>84</v>
      </c>
      <c r="H154" s="34" t="s">
        <v>66</v>
      </c>
      <c r="I154" s="34" t="s">
        <v>86</v>
      </c>
      <c r="J154" s="113">
        <v>6400</v>
      </c>
      <c r="K154" s="113"/>
      <c r="L154" s="113">
        <v>1700</v>
      </c>
      <c r="M154" s="335">
        <f>SUM(J154:L154)</f>
        <v>8100</v>
      </c>
      <c r="N154" s="359">
        <f>M154</f>
        <v>8100</v>
      </c>
      <c r="Q154"/>
    </row>
    <row r="155" spans="1:17" ht="29.45" customHeight="1">
      <c r="A155" s="106" t="s">
        <v>393</v>
      </c>
      <c r="B155" s="106" t="s">
        <v>387</v>
      </c>
      <c r="C155" s="33" t="s">
        <v>63</v>
      </c>
      <c r="D155" s="32" t="s">
        <v>394</v>
      </c>
      <c r="E155" s="34">
        <v>46245</v>
      </c>
      <c r="F155" s="34">
        <v>46291</v>
      </c>
      <c r="G155" s="32" t="s">
        <v>100</v>
      </c>
      <c r="H155" s="34" t="s">
        <v>66</v>
      </c>
      <c r="I155" s="34" t="s">
        <v>86</v>
      </c>
      <c r="J155" s="113">
        <v>6100</v>
      </c>
      <c r="K155" s="113"/>
      <c r="L155" s="113">
        <v>1700</v>
      </c>
      <c r="M155" s="335">
        <f>SUM(J155:L155)</f>
        <v>7800</v>
      </c>
      <c r="N155" s="359">
        <f>M155</f>
        <v>7800</v>
      </c>
      <c r="Q155"/>
    </row>
    <row r="156" spans="1:17" ht="29.45" customHeight="1">
      <c r="A156" s="106" t="s">
        <v>395</v>
      </c>
      <c r="B156" s="106" t="s">
        <v>387</v>
      </c>
      <c r="C156" s="33" t="s">
        <v>63</v>
      </c>
      <c r="D156" s="32" t="s">
        <v>396</v>
      </c>
      <c r="E156" s="34">
        <v>46245</v>
      </c>
      <c r="F156" s="34">
        <v>46291</v>
      </c>
      <c r="G156" s="32" t="s">
        <v>100</v>
      </c>
      <c r="H156" s="34" t="s">
        <v>66</v>
      </c>
      <c r="I156" s="34" t="s">
        <v>86</v>
      </c>
      <c r="J156" s="113">
        <v>6100</v>
      </c>
      <c r="K156" s="113"/>
      <c r="L156" s="113">
        <v>1700</v>
      </c>
      <c r="M156" s="335">
        <f>SUM(J156:L156)</f>
        <v>7800</v>
      </c>
      <c r="N156" s="359">
        <f>M156</f>
        <v>7800</v>
      </c>
      <c r="Q156"/>
    </row>
    <row r="157" spans="1:17" ht="29.45" customHeight="1">
      <c r="A157" s="106" t="s">
        <v>397</v>
      </c>
      <c r="B157" s="106" t="s">
        <v>387</v>
      </c>
      <c r="C157" s="33" t="s">
        <v>63</v>
      </c>
      <c r="D157" s="32" t="s">
        <v>398</v>
      </c>
      <c r="E157" s="34">
        <v>46254</v>
      </c>
      <c r="F157" s="34">
        <v>46300</v>
      </c>
      <c r="G157" s="32" t="s">
        <v>84</v>
      </c>
      <c r="H157" s="34" t="s">
        <v>66</v>
      </c>
      <c r="I157" s="34" t="s">
        <v>86</v>
      </c>
      <c r="J157" s="113">
        <v>7600</v>
      </c>
      <c r="K157" s="113"/>
      <c r="L157" s="113">
        <v>1700</v>
      </c>
      <c r="M157" s="335">
        <f>SUM(J157:L157)</f>
        <v>9300</v>
      </c>
      <c r="N157" s="359">
        <f>M157</f>
        <v>9300</v>
      </c>
      <c r="Q157"/>
    </row>
    <row r="158" spans="1:17" ht="29.45" customHeight="1">
      <c r="A158" s="106" t="s">
        <v>399</v>
      </c>
      <c r="B158" s="106" t="s">
        <v>400</v>
      </c>
      <c r="C158" s="33" t="s">
        <v>63</v>
      </c>
      <c r="D158" s="32" t="s">
        <v>401</v>
      </c>
      <c r="E158" s="34">
        <v>46263</v>
      </c>
      <c r="F158" s="34">
        <v>46289</v>
      </c>
      <c r="G158" s="32" t="s">
        <v>100</v>
      </c>
      <c r="H158" s="34" t="s">
        <v>85</v>
      </c>
      <c r="I158" s="34" t="s">
        <v>86</v>
      </c>
      <c r="J158" s="113">
        <v>7600</v>
      </c>
      <c r="K158" s="113"/>
      <c r="L158" s="113">
        <v>1700</v>
      </c>
      <c r="M158" s="335">
        <f>SUM(J158:L158)</f>
        <v>9300</v>
      </c>
      <c r="N158" s="359">
        <f>M158</f>
        <v>9300</v>
      </c>
      <c r="Q158"/>
    </row>
    <row r="159" spans="1:17" ht="29.45" customHeight="1">
      <c r="A159" s="106" t="s">
        <v>402</v>
      </c>
      <c r="B159" s="106" t="s">
        <v>400</v>
      </c>
      <c r="C159" s="33" t="s">
        <v>63</v>
      </c>
      <c r="D159" s="32" t="s">
        <v>403</v>
      </c>
      <c r="E159" s="34">
        <v>46263</v>
      </c>
      <c r="F159" s="34">
        <v>46289</v>
      </c>
      <c r="G159" s="32" t="s">
        <v>100</v>
      </c>
      <c r="H159" s="34" t="s">
        <v>85</v>
      </c>
      <c r="I159" s="34" t="s">
        <v>86</v>
      </c>
      <c r="J159" s="113">
        <v>7600</v>
      </c>
      <c r="K159" s="113"/>
      <c r="L159" s="113">
        <v>1700</v>
      </c>
      <c r="M159" s="335">
        <f>SUM(J159:L159)</f>
        <v>9300</v>
      </c>
      <c r="N159" s="359">
        <f>M159</f>
        <v>9300</v>
      </c>
      <c r="Q159"/>
    </row>
    <row r="160" spans="1:17" ht="29.45" customHeight="1">
      <c r="A160" s="106" t="s">
        <v>404</v>
      </c>
      <c r="B160" s="106" t="s">
        <v>405</v>
      </c>
      <c r="C160" s="33" t="s">
        <v>63</v>
      </c>
      <c r="D160" s="32" t="s">
        <v>406</v>
      </c>
      <c r="E160" s="34">
        <v>46263</v>
      </c>
      <c r="F160" s="34">
        <v>46289</v>
      </c>
      <c r="G160" s="32" t="s">
        <v>100</v>
      </c>
      <c r="H160" s="34" t="s">
        <v>85</v>
      </c>
      <c r="I160" s="34" t="s">
        <v>86</v>
      </c>
      <c r="J160" s="113">
        <v>7600</v>
      </c>
      <c r="K160" s="113"/>
      <c r="L160" s="113">
        <v>1700</v>
      </c>
      <c r="M160" s="335">
        <f>SUM(J160:L160)</f>
        <v>9300</v>
      </c>
      <c r="N160" s="359">
        <f>M160</f>
        <v>9300</v>
      </c>
      <c r="Q160"/>
    </row>
    <row r="161" spans="1:17" ht="29.45" customHeight="1">
      <c r="A161" s="106" t="s">
        <v>407</v>
      </c>
      <c r="B161" s="106" t="s">
        <v>405</v>
      </c>
      <c r="C161" s="33" t="s">
        <v>63</v>
      </c>
      <c r="D161" s="32" t="s">
        <v>408</v>
      </c>
      <c r="E161" s="34">
        <v>46263</v>
      </c>
      <c r="F161" s="34">
        <v>46289</v>
      </c>
      <c r="G161" s="32" t="s">
        <v>100</v>
      </c>
      <c r="H161" s="34" t="s">
        <v>85</v>
      </c>
      <c r="I161" s="34" t="s">
        <v>86</v>
      </c>
      <c r="J161" s="113">
        <v>7600</v>
      </c>
      <c r="K161" s="113"/>
      <c r="L161" s="113">
        <v>1700</v>
      </c>
      <c r="M161" s="335">
        <f>SUM(J161:L161)</f>
        <v>9300</v>
      </c>
      <c r="N161" s="359">
        <f>M161</f>
        <v>9300</v>
      </c>
      <c r="Q161"/>
    </row>
    <row r="162" spans="1:17" ht="29.45" customHeight="1">
      <c r="A162" s="106" t="s">
        <v>409</v>
      </c>
      <c r="B162" s="106" t="s">
        <v>405</v>
      </c>
      <c r="C162" s="33" t="s">
        <v>63</v>
      </c>
      <c r="D162" s="32" t="s">
        <v>410</v>
      </c>
      <c r="E162" s="34">
        <v>46261</v>
      </c>
      <c r="F162" s="34">
        <v>46300</v>
      </c>
      <c r="G162" s="32" t="s">
        <v>84</v>
      </c>
      <c r="H162" s="34" t="s">
        <v>66</v>
      </c>
      <c r="I162" s="34" t="s">
        <v>86</v>
      </c>
      <c r="J162" s="113">
        <v>7550</v>
      </c>
      <c r="K162" s="113"/>
      <c r="L162" s="113">
        <v>1700</v>
      </c>
      <c r="M162" s="335">
        <f>SUM(J162:L162)</f>
        <v>9250</v>
      </c>
      <c r="N162" s="359">
        <f>M162</f>
        <v>9250</v>
      </c>
      <c r="Q162"/>
    </row>
    <row r="163" spans="1:17" ht="29.45" customHeight="1">
      <c r="A163" s="106" t="s">
        <v>411</v>
      </c>
      <c r="B163" s="106" t="s">
        <v>405</v>
      </c>
      <c r="C163" s="33" t="s">
        <v>63</v>
      </c>
      <c r="D163" s="32" t="s">
        <v>412</v>
      </c>
      <c r="E163" s="34">
        <v>46261</v>
      </c>
      <c r="F163" s="34">
        <v>46300</v>
      </c>
      <c r="G163" s="32" t="s">
        <v>84</v>
      </c>
      <c r="H163" s="34" t="s">
        <v>66</v>
      </c>
      <c r="I163" s="34" t="s">
        <v>86</v>
      </c>
      <c r="J163" s="113">
        <v>7550</v>
      </c>
      <c r="K163" s="113"/>
      <c r="L163" s="113">
        <v>1700</v>
      </c>
      <c r="M163" s="335">
        <f>SUM(J163:L163)</f>
        <v>9250</v>
      </c>
      <c r="N163" s="359">
        <f>M163</f>
        <v>9250</v>
      </c>
      <c r="Q163"/>
    </row>
    <row r="164" spans="1:17" ht="29.45" customHeight="1">
      <c r="A164" s="106" t="s">
        <v>413</v>
      </c>
      <c r="B164" s="106" t="s">
        <v>400</v>
      </c>
      <c r="C164" s="33" t="s">
        <v>63</v>
      </c>
      <c r="D164" s="32" t="s">
        <v>414</v>
      </c>
      <c r="E164" s="34">
        <v>46260</v>
      </c>
      <c r="F164" s="34">
        <v>46300</v>
      </c>
      <c r="G164" s="32" t="s">
        <v>84</v>
      </c>
      <c r="H164" s="34" t="s">
        <v>66</v>
      </c>
      <c r="I164" s="34" t="s">
        <v>86</v>
      </c>
      <c r="J164" s="113">
        <v>7550</v>
      </c>
      <c r="K164" s="113"/>
      <c r="L164" s="113">
        <v>1700</v>
      </c>
      <c r="M164" s="335">
        <f>SUM(J164:L164)</f>
        <v>9250</v>
      </c>
      <c r="N164" s="359">
        <f>M164</f>
        <v>9250</v>
      </c>
      <c r="Q164"/>
    </row>
    <row r="165" spans="1:17" ht="29.45" customHeight="1">
      <c r="A165" s="106" t="s">
        <v>415</v>
      </c>
      <c r="B165" s="106" t="s">
        <v>405</v>
      </c>
      <c r="C165" s="33" t="s">
        <v>63</v>
      </c>
      <c r="D165" s="32" t="s">
        <v>416</v>
      </c>
      <c r="E165" s="34">
        <v>46260</v>
      </c>
      <c r="F165" s="34">
        <v>46299</v>
      </c>
      <c r="G165" s="32" t="s">
        <v>84</v>
      </c>
      <c r="H165" s="34" t="s">
        <v>66</v>
      </c>
      <c r="I165" s="34" t="s">
        <v>86</v>
      </c>
      <c r="J165" s="113">
        <v>7550</v>
      </c>
      <c r="K165" s="113"/>
      <c r="L165" s="113">
        <v>1700</v>
      </c>
      <c r="M165" s="335">
        <f>SUM(J165:L165)</f>
        <v>9250</v>
      </c>
      <c r="N165" s="359">
        <f>M165</f>
        <v>9250</v>
      </c>
      <c r="Q165"/>
    </row>
    <row r="166" spans="1:17" ht="29.45" customHeight="1">
      <c r="A166" s="106" t="s">
        <v>417</v>
      </c>
      <c r="B166" s="106" t="s">
        <v>387</v>
      </c>
      <c r="C166" s="33" t="s">
        <v>63</v>
      </c>
      <c r="D166" s="32" t="s">
        <v>418</v>
      </c>
      <c r="E166" s="34">
        <v>46254</v>
      </c>
      <c r="F166" s="34">
        <v>46300</v>
      </c>
      <c r="G166" s="32" t="s">
        <v>100</v>
      </c>
      <c r="H166" s="34" t="s">
        <v>66</v>
      </c>
      <c r="I166" s="34" t="s">
        <v>419</v>
      </c>
      <c r="J166" s="113">
        <v>7700</v>
      </c>
      <c r="K166" s="113">
        <v>350</v>
      </c>
      <c r="L166" s="113"/>
      <c r="M166" s="335">
        <f>SUM(J166:L166)</f>
        <v>8050</v>
      </c>
      <c r="N166" s="359">
        <f>M166</f>
        <v>8050</v>
      </c>
      <c r="Q166"/>
    </row>
    <row r="167" spans="1:17" ht="29.45" customHeight="1">
      <c r="A167" s="106" t="s">
        <v>420</v>
      </c>
      <c r="B167" s="106" t="s">
        <v>387</v>
      </c>
      <c r="C167" s="33" t="s">
        <v>63</v>
      </c>
      <c r="D167" s="32" t="s">
        <v>421</v>
      </c>
      <c r="E167" s="34">
        <v>46275</v>
      </c>
      <c r="F167" s="34">
        <v>46315</v>
      </c>
      <c r="G167" s="32" t="s">
        <v>100</v>
      </c>
      <c r="H167" s="34" t="s">
        <v>66</v>
      </c>
      <c r="I167" s="34" t="s">
        <v>419</v>
      </c>
      <c r="J167" s="113">
        <v>8100</v>
      </c>
      <c r="K167" s="113"/>
      <c r="L167" s="113">
        <v>1700</v>
      </c>
      <c r="M167" s="335">
        <f>SUM(J167:L167)</f>
        <v>9800</v>
      </c>
      <c r="N167" s="359">
        <f>M167</f>
        <v>9800</v>
      </c>
      <c r="Q167"/>
    </row>
    <row r="168" spans="1:17" ht="29.45" customHeight="1">
      <c r="A168" s="106" t="s">
        <v>422</v>
      </c>
      <c r="B168" s="106" t="s">
        <v>387</v>
      </c>
      <c r="C168" s="33" t="s">
        <v>63</v>
      </c>
      <c r="D168" s="32" t="s">
        <v>423</v>
      </c>
      <c r="E168" s="34">
        <v>46273</v>
      </c>
      <c r="F168" s="34">
        <v>46313</v>
      </c>
      <c r="G168" s="32" t="s">
        <v>100</v>
      </c>
      <c r="H168" s="34" t="s">
        <v>66</v>
      </c>
      <c r="I168" s="34" t="s">
        <v>419</v>
      </c>
      <c r="J168" s="113">
        <v>8100</v>
      </c>
      <c r="K168" s="113"/>
      <c r="L168" s="113">
        <v>1700</v>
      </c>
      <c r="M168" s="335">
        <f>SUM(J168:L168)</f>
        <v>9800</v>
      </c>
      <c r="N168" s="359">
        <f>M168</f>
        <v>9800</v>
      </c>
      <c r="Q168"/>
    </row>
    <row r="169" spans="1:17" ht="29.45" customHeight="1">
      <c r="A169" s="106" t="s">
        <v>424</v>
      </c>
      <c r="B169" s="106" t="s">
        <v>405</v>
      </c>
      <c r="C169" s="33" t="s">
        <v>63</v>
      </c>
      <c r="D169" s="32" t="s">
        <v>425</v>
      </c>
      <c r="E169" s="34">
        <v>46270</v>
      </c>
      <c r="F169" s="34">
        <v>46310</v>
      </c>
      <c r="G169" s="32" t="s">
        <v>100</v>
      </c>
      <c r="H169" s="34" t="s">
        <v>66</v>
      </c>
      <c r="I169" s="34" t="s">
        <v>419</v>
      </c>
      <c r="J169" s="113">
        <v>8100</v>
      </c>
      <c r="K169" s="113"/>
      <c r="L169" s="113">
        <v>1700</v>
      </c>
      <c r="M169" s="335">
        <f>SUM(J169:L169)</f>
        <v>9800</v>
      </c>
      <c r="N169" s="359">
        <f>M169</f>
        <v>9800</v>
      </c>
      <c r="Q169"/>
    </row>
    <row r="170" spans="1:17" ht="29.45" customHeight="1">
      <c r="A170" s="106" t="s">
        <v>426</v>
      </c>
      <c r="B170" s="106" t="s">
        <v>405</v>
      </c>
      <c r="C170" s="33" t="s">
        <v>63</v>
      </c>
      <c r="D170" s="32" t="s">
        <v>427</v>
      </c>
      <c r="E170" s="34">
        <v>46263</v>
      </c>
      <c r="F170" s="34">
        <v>46306</v>
      </c>
      <c r="G170" s="32" t="s">
        <v>84</v>
      </c>
      <c r="H170" s="34" t="s">
        <v>343</v>
      </c>
      <c r="I170" s="34" t="s">
        <v>419</v>
      </c>
      <c r="J170" s="113">
        <v>7900</v>
      </c>
      <c r="K170" s="113"/>
      <c r="L170" s="113">
        <v>1700</v>
      </c>
      <c r="M170" s="335">
        <f>SUM(J170:L170)</f>
        <v>9600</v>
      </c>
      <c r="N170" s="359">
        <f>M170</f>
        <v>9600</v>
      </c>
      <c r="Q170"/>
    </row>
    <row r="171" spans="1:17" ht="29.45" customHeight="1">
      <c r="A171" s="106" t="s">
        <v>428</v>
      </c>
      <c r="B171" s="106" t="s">
        <v>400</v>
      </c>
      <c r="C171" s="33" t="s">
        <v>63</v>
      </c>
      <c r="D171" s="32" t="s">
        <v>429</v>
      </c>
      <c r="E171" s="34">
        <v>46273</v>
      </c>
      <c r="F171" s="34">
        <v>46303</v>
      </c>
      <c r="G171" s="32" t="s">
        <v>100</v>
      </c>
      <c r="H171" s="34" t="s">
        <v>66</v>
      </c>
      <c r="I171" s="34" t="s">
        <v>105</v>
      </c>
      <c r="J171" s="113">
        <v>8100</v>
      </c>
      <c r="K171" s="113"/>
      <c r="L171" s="113">
        <v>0</v>
      </c>
      <c r="M171" s="335">
        <f>SUM(J171:L171)</f>
        <v>8100</v>
      </c>
      <c r="N171" s="359">
        <f>M171</f>
        <v>8100</v>
      </c>
      <c r="Q171"/>
    </row>
    <row r="172" spans="1:17" ht="29.45" customHeight="1">
      <c r="A172" s="106" t="s">
        <v>430</v>
      </c>
      <c r="B172" s="106" t="s">
        <v>400</v>
      </c>
      <c r="C172" s="33" t="s">
        <v>63</v>
      </c>
      <c r="D172" s="32" t="s">
        <v>431</v>
      </c>
      <c r="E172" s="34">
        <v>46263</v>
      </c>
      <c r="F172" s="34">
        <v>46286</v>
      </c>
      <c r="G172" s="32" t="s">
        <v>100</v>
      </c>
      <c r="H172" s="34" t="s">
        <v>85</v>
      </c>
      <c r="I172" s="34" t="s">
        <v>105</v>
      </c>
      <c r="J172" s="113">
        <v>8000</v>
      </c>
      <c r="K172" s="113"/>
      <c r="L172" s="113">
        <v>0</v>
      </c>
      <c r="M172" s="335">
        <f>SUM(J172:L172)</f>
        <v>8000</v>
      </c>
      <c r="N172" s="359">
        <f>M172</f>
        <v>8000</v>
      </c>
      <c r="Q172"/>
    </row>
    <row r="173" spans="1:17" ht="29.45" customHeight="1">
      <c r="A173" s="106" t="s">
        <v>432</v>
      </c>
      <c r="B173" s="106" t="s">
        <v>405</v>
      </c>
      <c r="C173" s="33" t="s">
        <v>63</v>
      </c>
      <c r="D173" s="32" t="s">
        <v>433</v>
      </c>
      <c r="E173" s="34">
        <v>46273</v>
      </c>
      <c r="F173" s="34">
        <v>46313</v>
      </c>
      <c r="G173" s="32" t="s">
        <v>100</v>
      </c>
      <c r="H173" s="34" t="s">
        <v>66</v>
      </c>
      <c r="I173" s="34" t="s">
        <v>419</v>
      </c>
      <c r="J173" s="113">
        <v>8100</v>
      </c>
      <c r="K173" s="113"/>
      <c r="L173" s="113">
        <v>1700</v>
      </c>
      <c r="M173" s="335">
        <f>SUM(J173:L173)</f>
        <v>9800</v>
      </c>
      <c r="N173" s="359">
        <f>M173</f>
        <v>9800</v>
      </c>
      <c r="Q173"/>
    </row>
    <row r="174" spans="1:17" ht="29.45" customHeight="1">
      <c r="A174" s="106" t="s">
        <v>434</v>
      </c>
      <c r="B174" s="106" t="s">
        <v>405</v>
      </c>
      <c r="C174" s="33" t="s">
        <v>63</v>
      </c>
      <c r="D174" s="32" t="s">
        <v>435</v>
      </c>
      <c r="E174" s="34">
        <v>46268</v>
      </c>
      <c r="F174" s="34">
        <v>46284</v>
      </c>
      <c r="G174" s="32" t="s">
        <v>100</v>
      </c>
      <c r="H174" s="34" t="s">
        <v>85</v>
      </c>
      <c r="I174" s="34" t="s">
        <v>419</v>
      </c>
      <c r="J174" s="113">
        <v>8100</v>
      </c>
      <c r="K174" s="113"/>
      <c r="L174" s="113">
        <v>1700</v>
      </c>
      <c r="M174" s="335">
        <f>SUM(J174:L174)</f>
        <v>9800</v>
      </c>
      <c r="N174" s="359">
        <f>M174</f>
        <v>9800</v>
      </c>
      <c r="Q174"/>
    </row>
    <row r="175" spans="1:17" ht="29.45" customHeight="1">
      <c r="A175" s="106" t="s">
        <v>436</v>
      </c>
      <c r="B175" s="106" t="s">
        <v>405</v>
      </c>
      <c r="C175" s="33" t="s">
        <v>63</v>
      </c>
      <c r="D175" s="32" t="s">
        <v>437</v>
      </c>
      <c r="E175" s="34">
        <v>46268</v>
      </c>
      <c r="F175" s="34">
        <v>46284</v>
      </c>
      <c r="G175" s="32" t="s">
        <v>100</v>
      </c>
      <c r="H175" s="34" t="s">
        <v>85</v>
      </c>
      <c r="I175" s="34" t="s">
        <v>419</v>
      </c>
      <c r="J175" s="113">
        <v>8100</v>
      </c>
      <c r="K175" s="113"/>
      <c r="L175" s="113">
        <v>1700</v>
      </c>
      <c r="M175" s="335">
        <f>SUM(J175:L175)</f>
        <v>9800</v>
      </c>
      <c r="N175" s="359">
        <f>M175</f>
        <v>9800</v>
      </c>
      <c r="Q175"/>
    </row>
    <row r="176" spans="1:17" ht="29.45" customHeight="1">
      <c r="A176" s="106" t="s">
        <v>438</v>
      </c>
      <c r="B176" s="106" t="s">
        <v>405</v>
      </c>
      <c r="C176" s="33" t="s">
        <v>63</v>
      </c>
      <c r="D176" s="32" t="s">
        <v>439</v>
      </c>
      <c r="E176" s="34">
        <v>46268</v>
      </c>
      <c r="F176" s="34">
        <v>46284</v>
      </c>
      <c r="G176" s="32" t="s">
        <v>100</v>
      </c>
      <c r="H176" s="34" t="s">
        <v>85</v>
      </c>
      <c r="I176" s="34" t="s">
        <v>419</v>
      </c>
      <c r="J176" s="113">
        <v>8100</v>
      </c>
      <c r="K176" s="113"/>
      <c r="L176" s="113">
        <v>1700</v>
      </c>
      <c r="M176" s="335">
        <f>SUM(J176:L176)</f>
        <v>9800</v>
      </c>
      <c r="N176" s="359">
        <f>M176</f>
        <v>9800</v>
      </c>
      <c r="Q176"/>
    </row>
    <row r="177" spans="1:17" ht="29.45" customHeight="1">
      <c r="A177" s="106" t="s">
        <v>440</v>
      </c>
      <c r="B177" s="106" t="s">
        <v>405</v>
      </c>
      <c r="C177" s="33" t="s">
        <v>63</v>
      </c>
      <c r="D177" s="32" t="s">
        <v>441</v>
      </c>
      <c r="E177" s="34">
        <v>46271</v>
      </c>
      <c r="F177" s="34">
        <v>46320</v>
      </c>
      <c r="G177" s="32" t="s">
        <v>84</v>
      </c>
      <c r="H177" s="34" t="s">
        <v>343</v>
      </c>
      <c r="I177" s="34" t="s">
        <v>419</v>
      </c>
      <c r="J177" s="113">
        <v>8250</v>
      </c>
      <c r="K177" s="113"/>
      <c r="L177" s="113">
        <v>1700</v>
      </c>
      <c r="M177" s="335">
        <f>SUM(J177:L177)</f>
        <v>9950</v>
      </c>
      <c r="N177" s="359">
        <f>M177</f>
        <v>9950</v>
      </c>
      <c r="Q177"/>
    </row>
    <row r="178" spans="1:17" ht="29.45" customHeight="1">
      <c r="A178" s="106" t="s">
        <v>442</v>
      </c>
      <c r="B178" s="106" t="s">
        <v>400</v>
      </c>
      <c r="C178" s="33" t="s">
        <v>63</v>
      </c>
      <c r="D178" s="32" t="s">
        <v>443</v>
      </c>
      <c r="E178" s="34">
        <v>46271</v>
      </c>
      <c r="F178" s="34">
        <v>46320</v>
      </c>
      <c r="G178" s="32" t="s">
        <v>84</v>
      </c>
      <c r="H178" s="34" t="s">
        <v>343</v>
      </c>
      <c r="I178" s="34" t="s">
        <v>419</v>
      </c>
      <c r="J178" s="113">
        <v>8250</v>
      </c>
      <c r="K178" s="113"/>
      <c r="L178" s="113">
        <v>1700</v>
      </c>
      <c r="M178" s="335">
        <f>SUM(J178:L178)</f>
        <v>9950</v>
      </c>
      <c r="N178" s="359">
        <f>M178</f>
        <v>9950</v>
      </c>
      <c r="Q178"/>
    </row>
    <row r="179" spans="1:17" ht="29.45" customHeight="1">
      <c r="A179" s="106" t="s">
        <v>444</v>
      </c>
      <c r="B179" s="106" t="s">
        <v>400</v>
      </c>
      <c r="C179" s="33" t="s">
        <v>63</v>
      </c>
      <c r="D179" s="32" t="s">
        <v>445</v>
      </c>
      <c r="E179" s="34">
        <v>46278</v>
      </c>
      <c r="F179" s="34">
        <v>46320</v>
      </c>
      <c r="G179" s="32" t="s">
        <v>84</v>
      </c>
      <c r="H179" s="34" t="s">
        <v>343</v>
      </c>
      <c r="I179" s="34" t="s">
        <v>419</v>
      </c>
      <c r="J179" s="113">
        <v>8250</v>
      </c>
      <c r="K179" s="113"/>
      <c r="L179" s="113">
        <v>1700</v>
      </c>
      <c r="M179" s="335">
        <f>SUM(J179:L179)</f>
        <v>9950</v>
      </c>
      <c r="N179" s="359">
        <f>M179</f>
        <v>9950</v>
      </c>
      <c r="Q179"/>
    </row>
    <row r="180" spans="1:17" ht="29.45" customHeight="1">
      <c r="A180" s="106" t="s">
        <v>446</v>
      </c>
      <c r="B180" s="106" t="s">
        <v>400</v>
      </c>
      <c r="C180" s="33" t="s">
        <v>63</v>
      </c>
      <c r="D180" s="32" t="s">
        <v>447</v>
      </c>
      <c r="E180" s="34">
        <v>46278</v>
      </c>
      <c r="F180" s="34">
        <v>46320</v>
      </c>
      <c r="G180" s="32" t="s">
        <v>84</v>
      </c>
      <c r="H180" s="34" t="s">
        <v>343</v>
      </c>
      <c r="I180" s="34" t="s">
        <v>419</v>
      </c>
      <c r="J180" s="113">
        <v>8250</v>
      </c>
      <c r="K180" s="113"/>
      <c r="L180" s="113">
        <v>1700</v>
      </c>
      <c r="M180" s="335">
        <f>SUM(J180:L180)</f>
        <v>9950</v>
      </c>
      <c r="N180" s="359">
        <f>M180</f>
        <v>9950</v>
      </c>
      <c r="Q180"/>
    </row>
    <row r="181" spans="1:17" ht="29.45" customHeight="1">
      <c r="A181" s="106" t="s">
        <v>448</v>
      </c>
      <c r="B181" s="106" t="s">
        <v>405</v>
      </c>
      <c r="C181" s="33" t="s">
        <v>63</v>
      </c>
      <c r="D181" s="32" t="s">
        <v>449</v>
      </c>
      <c r="E181" s="34">
        <v>46273</v>
      </c>
      <c r="F181" s="34">
        <v>46313</v>
      </c>
      <c r="G181" s="32" t="s">
        <v>84</v>
      </c>
      <c r="H181" s="34" t="s">
        <v>66</v>
      </c>
      <c r="I181" s="34" t="s">
        <v>419</v>
      </c>
      <c r="J181" s="113">
        <v>8000</v>
      </c>
      <c r="K181" s="113"/>
      <c r="L181" s="113">
        <v>1700</v>
      </c>
      <c r="M181" s="335">
        <f>SUM(J181:L181)</f>
        <v>9700</v>
      </c>
      <c r="N181" s="359">
        <f>M181</f>
        <v>9700</v>
      </c>
      <c r="Q181"/>
    </row>
    <row r="182" spans="1:17" ht="29.45" customHeight="1">
      <c r="A182" s="106" t="s">
        <v>450</v>
      </c>
      <c r="B182" s="106" t="s">
        <v>405</v>
      </c>
      <c r="C182" s="33" t="s">
        <v>63</v>
      </c>
      <c r="D182" s="32" t="s">
        <v>451</v>
      </c>
      <c r="E182" s="34">
        <v>46273</v>
      </c>
      <c r="F182" s="34">
        <v>46313</v>
      </c>
      <c r="G182" s="32" t="s">
        <v>84</v>
      </c>
      <c r="H182" s="34" t="s">
        <v>66</v>
      </c>
      <c r="I182" s="34" t="s">
        <v>419</v>
      </c>
      <c r="J182" s="113">
        <v>8000</v>
      </c>
      <c r="K182" s="113"/>
      <c r="L182" s="113">
        <v>1700</v>
      </c>
      <c r="M182" s="335">
        <f>SUM(J182:L182)</f>
        <v>9700</v>
      </c>
      <c r="N182" s="359">
        <f>M182</f>
        <v>9700</v>
      </c>
      <c r="Q182"/>
    </row>
    <row r="183" spans="1:17" ht="29.45" customHeight="1">
      <c r="A183" s="106" t="s">
        <v>452</v>
      </c>
      <c r="B183" s="106" t="s">
        <v>405</v>
      </c>
      <c r="C183" s="33" t="s">
        <v>63</v>
      </c>
      <c r="D183" s="32" t="s">
        <v>453</v>
      </c>
      <c r="E183" s="34">
        <v>46273</v>
      </c>
      <c r="F183" s="34">
        <v>46313</v>
      </c>
      <c r="G183" s="32" t="s">
        <v>84</v>
      </c>
      <c r="H183" s="34" t="s">
        <v>66</v>
      </c>
      <c r="I183" s="34" t="s">
        <v>419</v>
      </c>
      <c r="J183" s="113">
        <v>8000</v>
      </c>
      <c r="K183" s="113"/>
      <c r="L183" s="113">
        <v>1700</v>
      </c>
      <c r="M183" s="335">
        <f>SUM(J183:L183)</f>
        <v>9700</v>
      </c>
      <c r="N183" s="359">
        <f>M183</f>
        <v>9700</v>
      </c>
      <c r="Q183"/>
    </row>
    <row r="184" spans="1:17" ht="29.45" customHeight="1">
      <c r="A184" s="106" t="s">
        <v>454</v>
      </c>
      <c r="B184" s="106" t="s">
        <v>405</v>
      </c>
      <c r="C184" s="33" t="s">
        <v>63</v>
      </c>
      <c r="D184" s="32" t="s">
        <v>455</v>
      </c>
      <c r="E184" s="34">
        <v>46273</v>
      </c>
      <c r="F184" s="34">
        <v>46313</v>
      </c>
      <c r="G184" s="32" t="s">
        <v>84</v>
      </c>
      <c r="H184" s="34" t="s">
        <v>66</v>
      </c>
      <c r="I184" s="34" t="s">
        <v>419</v>
      </c>
      <c r="J184" s="113">
        <v>8000</v>
      </c>
      <c r="K184" s="113"/>
      <c r="L184" s="113">
        <v>1700</v>
      </c>
      <c r="M184" s="335">
        <f>SUM(J184:L184)</f>
        <v>9700</v>
      </c>
      <c r="N184" s="359">
        <f>M184</f>
        <v>9700</v>
      </c>
      <c r="Q184"/>
    </row>
    <row r="185" spans="1:17" ht="29.45" customHeight="1">
      <c r="A185" s="106" t="s">
        <v>456</v>
      </c>
      <c r="B185" s="106" t="s">
        <v>400</v>
      </c>
      <c r="C185" s="33" t="s">
        <v>63</v>
      </c>
      <c r="D185" s="32" t="s">
        <v>457</v>
      </c>
      <c r="E185" s="34">
        <v>46282</v>
      </c>
      <c r="F185" s="34">
        <v>46312</v>
      </c>
      <c r="G185" s="32" t="s">
        <v>100</v>
      </c>
      <c r="H185" s="34" t="s">
        <v>66</v>
      </c>
      <c r="I185" s="34" t="s">
        <v>105</v>
      </c>
      <c r="J185" s="113">
        <v>7600</v>
      </c>
      <c r="K185" s="113"/>
      <c r="L185" s="113">
        <v>0</v>
      </c>
      <c r="M185" s="335">
        <f>SUM(J185:L185)</f>
        <v>7600</v>
      </c>
      <c r="N185" s="359">
        <f>M185</f>
        <v>7600</v>
      </c>
      <c r="Q185"/>
    </row>
    <row r="186" spans="1:17" ht="29.45" customHeight="1">
      <c r="A186" s="106" t="s">
        <v>458</v>
      </c>
      <c r="B186" s="106" t="s">
        <v>400</v>
      </c>
      <c r="C186" s="33" t="s">
        <v>63</v>
      </c>
      <c r="D186" s="32" t="s">
        <v>459</v>
      </c>
      <c r="E186" s="34">
        <v>46278</v>
      </c>
      <c r="F186" s="34">
        <v>46320</v>
      </c>
      <c r="G186" s="32" t="s">
        <v>84</v>
      </c>
      <c r="H186" s="34" t="s">
        <v>285</v>
      </c>
      <c r="I186" s="34" t="s">
        <v>419</v>
      </c>
      <c r="J186" s="113">
        <v>8250</v>
      </c>
      <c r="K186" s="113"/>
      <c r="L186" s="113">
        <v>1700</v>
      </c>
      <c r="M186" s="335">
        <f>SUM(J186:L186)</f>
        <v>9950</v>
      </c>
      <c r="N186" s="359">
        <f>M186</f>
        <v>9950</v>
      </c>
      <c r="Q186"/>
    </row>
    <row r="187" spans="1:17" ht="29.45" customHeight="1">
      <c r="A187" s="106" t="s">
        <v>460</v>
      </c>
      <c r="B187" s="106" t="s">
        <v>400</v>
      </c>
      <c r="C187" s="33" t="s">
        <v>63</v>
      </c>
      <c r="D187" s="32" t="s">
        <v>461</v>
      </c>
      <c r="E187" s="34">
        <v>46278</v>
      </c>
      <c r="F187" s="34">
        <v>46320</v>
      </c>
      <c r="G187" s="32" t="s">
        <v>84</v>
      </c>
      <c r="H187" s="34" t="s">
        <v>285</v>
      </c>
      <c r="I187" s="34" t="s">
        <v>419</v>
      </c>
      <c r="J187" s="113">
        <v>8250</v>
      </c>
      <c r="K187" s="113"/>
      <c r="L187" s="113">
        <v>1700</v>
      </c>
      <c r="M187" s="335">
        <f>SUM(J187:L187)</f>
        <v>9950</v>
      </c>
      <c r="N187" s="359">
        <f>M187</f>
        <v>9950</v>
      </c>
      <c r="Q187"/>
    </row>
    <row r="188" spans="1:17" ht="29.45" customHeight="1">
      <c r="A188" s="106" t="s">
        <v>462</v>
      </c>
      <c r="B188" s="106" t="s">
        <v>405</v>
      </c>
      <c r="C188" s="33" t="s">
        <v>63</v>
      </c>
      <c r="D188" s="32" t="s">
        <v>463</v>
      </c>
      <c r="E188" s="34">
        <v>46281</v>
      </c>
      <c r="F188" s="34">
        <v>46303</v>
      </c>
      <c r="G188" s="32" t="s">
        <v>149</v>
      </c>
      <c r="H188" s="34" t="s">
        <v>66</v>
      </c>
      <c r="I188" s="34" t="s">
        <v>419</v>
      </c>
      <c r="J188" s="113">
        <v>7600</v>
      </c>
      <c r="K188" s="113"/>
      <c r="L188" s="113">
        <v>1700</v>
      </c>
      <c r="M188" s="335">
        <f>SUM(J188:L188)</f>
        <v>9300</v>
      </c>
      <c r="N188" s="359">
        <f>M188</f>
        <v>9300</v>
      </c>
      <c r="Q188"/>
    </row>
    <row r="189" spans="1:17" ht="29.45" customHeight="1">
      <c r="A189" s="106" t="s">
        <v>464</v>
      </c>
      <c r="B189" s="106" t="s">
        <v>405</v>
      </c>
      <c r="C189" s="33" t="s">
        <v>63</v>
      </c>
      <c r="D189" s="32" t="s">
        <v>465</v>
      </c>
      <c r="E189" s="34">
        <v>46281</v>
      </c>
      <c r="F189" s="34">
        <v>46303</v>
      </c>
      <c r="G189" s="32" t="s">
        <v>149</v>
      </c>
      <c r="H189" s="34" t="s">
        <v>66</v>
      </c>
      <c r="I189" s="34" t="s">
        <v>419</v>
      </c>
      <c r="J189" s="113">
        <v>7600</v>
      </c>
      <c r="K189" s="113"/>
      <c r="L189" s="113">
        <v>1700</v>
      </c>
      <c r="M189" s="335">
        <f>SUM(J189:L189)</f>
        <v>9300</v>
      </c>
      <c r="N189" s="359">
        <f>M189</f>
        <v>9300</v>
      </c>
      <c r="Q189"/>
    </row>
    <row r="190" spans="1:17" ht="29.45" customHeight="1">
      <c r="A190" s="106" t="s">
        <v>466</v>
      </c>
      <c r="B190" s="106" t="s">
        <v>405</v>
      </c>
      <c r="C190" s="33" t="s">
        <v>63</v>
      </c>
      <c r="D190" s="32" t="s">
        <v>467</v>
      </c>
      <c r="E190" s="34">
        <v>46280</v>
      </c>
      <c r="F190" s="34">
        <v>46320</v>
      </c>
      <c r="G190" s="32" t="s">
        <v>84</v>
      </c>
      <c r="H190" s="34" t="s">
        <v>343</v>
      </c>
      <c r="I190" s="34" t="s">
        <v>419</v>
      </c>
      <c r="J190" s="113">
        <v>8250</v>
      </c>
      <c r="K190" s="113"/>
      <c r="L190" s="113">
        <v>1700</v>
      </c>
      <c r="M190" s="335">
        <f>SUM(J190:L190)</f>
        <v>9950</v>
      </c>
      <c r="N190" s="359">
        <f>M190</f>
        <v>9950</v>
      </c>
      <c r="Q190"/>
    </row>
    <row r="191" spans="1:17" ht="29.45" customHeight="1">
      <c r="A191" s="106" t="s">
        <v>468</v>
      </c>
      <c r="B191" s="106" t="s">
        <v>405</v>
      </c>
      <c r="C191" s="33" t="s">
        <v>63</v>
      </c>
      <c r="D191" s="32" t="s">
        <v>469</v>
      </c>
      <c r="E191" s="34">
        <v>46280</v>
      </c>
      <c r="F191" s="34">
        <v>46320</v>
      </c>
      <c r="G191" s="32" t="s">
        <v>84</v>
      </c>
      <c r="H191" s="34" t="s">
        <v>343</v>
      </c>
      <c r="I191" s="34" t="s">
        <v>419</v>
      </c>
      <c r="J191" s="113">
        <v>8250</v>
      </c>
      <c r="K191" s="113"/>
      <c r="L191" s="113">
        <v>1700</v>
      </c>
      <c r="M191" s="335">
        <f>SUM(J191:L191)</f>
        <v>9950</v>
      </c>
      <c r="N191" s="359">
        <f>M191</f>
        <v>9950</v>
      </c>
      <c r="Q191"/>
    </row>
    <row r="192" spans="1:17" ht="29.45" customHeight="1">
      <c r="A192" s="106" t="s">
        <v>470</v>
      </c>
      <c r="B192" s="106" t="s">
        <v>405</v>
      </c>
      <c r="C192" s="33" t="s">
        <v>63</v>
      </c>
      <c r="D192" s="32" t="s">
        <v>471</v>
      </c>
      <c r="E192" s="34">
        <v>46282</v>
      </c>
      <c r="F192" s="34">
        <v>46311</v>
      </c>
      <c r="G192" s="32" t="s">
        <v>100</v>
      </c>
      <c r="H192" s="34" t="s">
        <v>66</v>
      </c>
      <c r="I192" s="34" t="s">
        <v>419</v>
      </c>
      <c r="J192" s="113">
        <v>7600</v>
      </c>
      <c r="K192" s="113"/>
      <c r="L192" s="113">
        <v>1700</v>
      </c>
      <c r="M192" s="335">
        <f>SUM(J192:L192)</f>
        <v>9300</v>
      </c>
      <c r="N192" s="359">
        <f>M192</f>
        <v>9300</v>
      </c>
      <c r="Q192"/>
    </row>
    <row r="193" spans="1:17" ht="29.45" customHeight="1">
      <c r="A193" s="106" t="s">
        <v>472</v>
      </c>
      <c r="B193" s="106" t="s">
        <v>400</v>
      </c>
      <c r="C193" s="33" t="s">
        <v>63</v>
      </c>
      <c r="D193" s="32" t="s">
        <v>473</v>
      </c>
      <c r="E193" s="34">
        <v>46280</v>
      </c>
      <c r="F193" s="34">
        <v>46305</v>
      </c>
      <c r="G193" s="32" t="s">
        <v>100</v>
      </c>
      <c r="H193" s="34" t="s">
        <v>85</v>
      </c>
      <c r="I193" s="34" t="s">
        <v>419</v>
      </c>
      <c r="J193" s="113">
        <v>7600</v>
      </c>
      <c r="K193" s="113"/>
      <c r="L193" s="113">
        <v>1700</v>
      </c>
      <c r="M193" s="335">
        <f>SUM(J193:L193)</f>
        <v>9300</v>
      </c>
      <c r="N193" s="359">
        <f>M193</f>
        <v>9300</v>
      </c>
      <c r="Q193"/>
    </row>
    <row r="194" spans="1:17" ht="29.45" customHeight="1">
      <c r="A194" s="106" t="s">
        <v>474</v>
      </c>
      <c r="B194" s="106" t="s">
        <v>405</v>
      </c>
      <c r="C194" s="33" t="s">
        <v>63</v>
      </c>
      <c r="D194" s="32" t="s">
        <v>475</v>
      </c>
      <c r="E194" s="34">
        <v>46281</v>
      </c>
      <c r="F194" s="34">
        <v>46303</v>
      </c>
      <c r="G194" s="32" t="s">
        <v>149</v>
      </c>
      <c r="H194" s="34" t="s">
        <v>66</v>
      </c>
      <c r="I194" s="34" t="s">
        <v>419</v>
      </c>
      <c r="J194" s="113">
        <v>7600</v>
      </c>
      <c r="K194" s="113"/>
      <c r="L194" s="113">
        <v>1700</v>
      </c>
      <c r="M194" s="335">
        <f>SUM(J194:L194)</f>
        <v>9300</v>
      </c>
      <c r="N194" s="359">
        <f>M194</f>
        <v>9300</v>
      </c>
      <c r="Q194"/>
    </row>
    <row r="195" spans="1:17" ht="29.45" customHeight="1">
      <c r="A195" s="106" t="s">
        <v>476</v>
      </c>
      <c r="B195" s="106" t="s">
        <v>405</v>
      </c>
      <c r="C195" s="33" t="s">
        <v>63</v>
      </c>
      <c r="D195" s="32" t="s">
        <v>477</v>
      </c>
      <c r="E195" s="34">
        <v>46281</v>
      </c>
      <c r="F195" s="34">
        <v>46303</v>
      </c>
      <c r="G195" s="32" t="s">
        <v>149</v>
      </c>
      <c r="H195" s="34" t="s">
        <v>66</v>
      </c>
      <c r="I195" s="34" t="s">
        <v>419</v>
      </c>
      <c r="J195" s="113">
        <v>7600</v>
      </c>
      <c r="K195" s="113"/>
      <c r="L195" s="113">
        <v>1700</v>
      </c>
      <c r="M195" s="335">
        <f>SUM(J195:L195)</f>
        <v>9300</v>
      </c>
      <c r="N195" s="359">
        <f>M195</f>
        <v>9300</v>
      </c>
      <c r="Q195"/>
    </row>
    <row r="196" spans="1:17" ht="29.45" customHeight="1">
      <c r="A196" s="106" t="s">
        <v>478</v>
      </c>
      <c r="B196" s="106" t="s">
        <v>405</v>
      </c>
      <c r="C196" s="33" t="s">
        <v>63</v>
      </c>
      <c r="D196" s="32" t="s">
        <v>479</v>
      </c>
      <c r="E196" s="34">
        <v>46284</v>
      </c>
      <c r="F196" s="34">
        <v>46316</v>
      </c>
      <c r="G196" s="32" t="s">
        <v>84</v>
      </c>
      <c r="H196" s="34" t="s">
        <v>343</v>
      </c>
      <c r="I196" s="34" t="s">
        <v>419</v>
      </c>
      <c r="J196" s="113">
        <v>7400</v>
      </c>
      <c r="K196" s="113"/>
      <c r="L196" s="113">
        <v>1700</v>
      </c>
      <c r="M196" s="335">
        <f>SUM(J196:L196)</f>
        <v>9100</v>
      </c>
      <c r="N196" s="359">
        <f>M196</f>
        <v>9100</v>
      </c>
      <c r="Q196"/>
    </row>
    <row r="197" spans="1:17" ht="29.45" customHeight="1">
      <c r="A197" s="106" t="s">
        <v>480</v>
      </c>
      <c r="B197" s="106" t="s">
        <v>387</v>
      </c>
      <c r="C197" s="33" t="s">
        <v>63</v>
      </c>
      <c r="D197" s="32" t="s">
        <v>481</v>
      </c>
      <c r="E197" s="34">
        <v>46291</v>
      </c>
      <c r="F197" s="34">
        <v>46311</v>
      </c>
      <c r="G197" s="32" t="s">
        <v>482</v>
      </c>
      <c r="H197" s="34" t="s">
        <v>85</v>
      </c>
      <c r="I197" s="34" t="s">
        <v>105</v>
      </c>
      <c r="J197" s="113">
        <v>7350</v>
      </c>
      <c r="K197" s="113"/>
      <c r="L197" s="113">
        <v>0</v>
      </c>
      <c r="M197" s="335">
        <f>SUM(J197:L197)</f>
        <v>7350</v>
      </c>
      <c r="N197" s="359">
        <f>M197</f>
        <v>7350</v>
      </c>
      <c r="Q197"/>
    </row>
    <row r="198" spans="1:17" ht="28.9" customHeight="1">
      <c r="A198" s="423" t="s">
        <v>483</v>
      </c>
      <c r="B198" s="423" t="s">
        <v>387</v>
      </c>
      <c r="C198" s="424" t="s">
        <v>63</v>
      </c>
      <c r="D198" s="425" t="s">
        <v>484</v>
      </c>
      <c r="E198" s="426">
        <v>46297</v>
      </c>
      <c r="F198" s="426">
        <v>46323</v>
      </c>
      <c r="G198" s="425" t="s">
        <v>100</v>
      </c>
      <c r="H198" s="426" t="s">
        <v>85</v>
      </c>
      <c r="I198" s="426" t="s">
        <v>419</v>
      </c>
      <c r="J198" s="427">
        <v>6000</v>
      </c>
      <c r="K198" s="427"/>
      <c r="L198" s="427">
        <v>1700</v>
      </c>
      <c r="M198" s="428">
        <f>SUM(J198:L198)</f>
        <v>7700</v>
      </c>
      <c r="N198" s="418">
        <f>M198</f>
        <v>7700</v>
      </c>
      <c r="Q198"/>
    </row>
    <row r="199" spans="1:17" ht="28.9" customHeight="1">
      <c r="A199" s="423" t="s">
        <v>485</v>
      </c>
      <c r="B199" s="423" t="s">
        <v>405</v>
      </c>
      <c r="C199" s="424" t="s">
        <v>63</v>
      </c>
      <c r="D199" s="425" t="s">
        <v>486</v>
      </c>
      <c r="E199" s="426">
        <v>46297</v>
      </c>
      <c r="F199" s="426">
        <v>46323</v>
      </c>
      <c r="G199" s="425" t="s">
        <v>100</v>
      </c>
      <c r="H199" s="426" t="s">
        <v>85</v>
      </c>
      <c r="I199" s="426" t="s">
        <v>419</v>
      </c>
      <c r="J199" s="427">
        <v>6000</v>
      </c>
      <c r="K199" s="427"/>
      <c r="L199" s="427">
        <v>1700</v>
      </c>
      <c r="M199" s="428">
        <f>SUM(J199:L199)</f>
        <v>7700</v>
      </c>
      <c r="N199" s="418">
        <f>M199</f>
        <v>7700</v>
      </c>
      <c r="Q199"/>
    </row>
    <row r="200" spans="1:17" ht="28.9" customHeight="1">
      <c r="A200" s="423" t="s">
        <v>487</v>
      </c>
      <c r="B200" s="423" t="s">
        <v>405</v>
      </c>
      <c r="C200" s="424" t="s">
        <v>63</v>
      </c>
      <c r="D200" s="425" t="s">
        <v>488</v>
      </c>
      <c r="E200" s="426">
        <v>46297</v>
      </c>
      <c r="F200" s="426">
        <v>46322</v>
      </c>
      <c r="G200" s="425" t="s">
        <v>482</v>
      </c>
      <c r="H200" s="426" t="s">
        <v>85</v>
      </c>
      <c r="I200" s="426" t="s">
        <v>105</v>
      </c>
      <c r="J200" s="427">
        <v>6100</v>
      </c>
      <c r="K200" s="427"/>
      <c r="L200" s="427">
        <v>0</v>
      </c>
      <c r="M200" s="428">
        <f>SUM(J200:L200)</f>
        <v>6100</v>
      </c>
      <c r="N200" s="418">
        <f>M200</f>
        <v>6100</v>
      </c>
      <c r="Q200"/>
    </row>
    <row r="201" spans="1:17" ht="28.9" customHeight="1">
      <c r="A201" s="454" t="s">
        <v>489</v>
      </c>
      <c r="B201" s="454" t="s">
        <v>400</v>
      </c>
      <c r="C201" s="455" t="s">
        <v>63</v>
      </c>
      <c r="D201" s="456" t="s">
        <v>490</v>
      </c>
      <c r="E201" s="457">
        <v>46302</v>
      </c>
      <c r="F201" s="457">
        <v>46340</v>
      </c>
      <c r="G201" s="456" t="s">
        <v>149</v>
      </c>
      <c r="H201" s="457" t="s">
        <v>66</v>
      </c>
      <c r="I201" s="457" t="s">
        <v>419</v>
      </c>
      <c r="J201" s="458">
        <v>5950</v>
      </c>
      <c r="K201" s="458"/>
      <c r="L201" s="458">
        <v>1700</v>
      </c>
      <c r="M201" s="459">
        <f>SUM(J201:L201)</f>
        <v>7650</v>
      </c>
      <c r="N201" s="418">
        <f>M201</f>
        <v>7650</v>
      </c>
      <c r="Q201"/>
    </row>
  </sheetData>
  <autoFilter ref="A2:N2" xr:uid="{5C2BC3A6-752B-45EE-83D3-2B3B0A003FD6}"/>
  <sortState xmlns:xlrd2="http://schemas.microsoft.com/office/spreadsheetml/2017/richdata2" ref="A3:M48">
    <sortCondition ref="F3:F48"/>
  </sortState>
  <conditionalFormatting sqref="A1:A1048576">
    <cfRule type="duplicateValues" dxfId="3134" priority="1"/>
    <cfRule type="duplicateValues" dxfId="3133" priority="2"/>
    <cfRule type="duplicateValues" dxfId="3132" priority="31"/>
    <cfRule type="duplicateValues" dxfId="3131" priority="32"/>
    <cfRule type="duplicateValues" dxfId="3130" priority="92"/>
    <cfRule type="duplicateValues" dxfId="3129" priority="2355"/>
  </conditionalFormatting>
  <conditionalFormatting sqref="D1:D1048576 A1:A1048576">
    <cfRule type="duplicateValues" dxfId="3128" priority="6"/>
  </conditionalFormatting>
  <conditionalFormatting sqref="D1:D1048576">
    <cfRule type="duplicateValues" dxfId="3127" priority="89"/>
    <cfRule type="duplicateValues" dxfId="3126" priority="2367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EADDE-D6C1-4725-B6B4-90B607F971DE}">
  <sheetPr codeName="Hoja4">
    <tabColor theme="3" tint="0.749992370372631"/>
  </sheetPr>
  <dimension ref="A1:N35"/>
  <sheetViews>
    <sheetView topLeftCell="A14" workbookViewId="0">
      <selection activeCell="C38" sqref="C38"/>
    </sheetView>
  </sheetViews>
  <sheetFormatPr defaultColWidth="11.42578125" defaultRowHeight="15" customHeight="1"/>
  <cols>
    <col min="1" max="1" width="19" customWidth="1"/>
    <col min="3" max="3" width="10.42578125" customWidth="1"/>
    <col min="4" max="4" width="14.42578125" bestFit="1" customWidth="1"/>
    <col min="5" max="5" width="8.42578125" bestFit="1" customWidth="1"/>
    <col min="6" max="6" width="8.28515625" bestFit="1" customWidth="1"/>
    <col min="7" max="7" width="16.7109375" bestFit="1" customWidth="1"/>
    <col min="9" max="9" width="18.140625" customWidth="1"/>
    <col min="10" max="10" width="11.42578125" style="1"/>
    <col min="11" max="11" width="16.42578125" style="6" bestFit="1" customWidth="1"/>
    <col min="17" max="17" width="12.7109375" bestFit="1" customWidth="1"/>
    <col min="18" max="18" width="15.7109375" customWidth="1"/>
  </cols>
  <sheetData>
    <row r="1" spans="1:14" ht="15.6">
      <c r="K1" s="75">
        <f>SUM(K3:K159)-SUM(N4:N20)</f>
        <v>0</v>
      </c>
    </row>
    <row r="2" spans="1:14" ht="25.15" customHeight="1">
      <c r="A2" s="53" t="s">
        <v>45</v>
      </c>
      <c r="B2" s="53" t="s">
        <v>491</v>
      </c>
      <c r="C2" s="53" t="s">
        <v>47</v>
      </c>
      <c r="D2" s="53" t="s">
        <v>49</v>
      </c>
      <c r="E2" s="53" t="s">
        <v>50</v>
      </c>
      <c r="F2" s="53" t="s">
        <v>51</v>
      </c>
      <c r="G2" s="53" t="s">
        <v>52</v>
      </c>
      <c r="H2" s="64" t="s">
        <v>53</v>
      </c>
      <c r="I2" s="53" t="s">
        <v>54</v>
      </c>
      <c r="J2" s="54" t="s">
        <v>492</v>
      </c>
      <c r="K2" s="54"/>
      <c r="M2" s="71"/>
      <c r="N2" s="71"/>
    </row>
    <row r="3" spans="1:14" ht="28.15" customHeight="1">
      <c r="A3" s="7" t="s">
        <v>493</v>
      </c>
      <c r="B3" s="7" t="s">
        <v>27</v>
      </c>
      <c r="C3" s="8" t="s">
        <v>27</v>
      </c>
      <c r="D3" s="7" t="s">
        <v>494</v>
      </c>
      <c r="E3" s="9">
        <v>46035</v>
      </c>
      <c r="F3" s="9">
        <v>46057</v>
      </c>
      <c r="G3" s="7" t="s">
        <v>100</v>
      </c>
      <c r="H3" s="10" t="s">
        <v>316</v>
      </c>
      <c r="I3" s="11" t="s">
        <v>495</v>
      </c>
      <c r="J3" s="12">
        <v>1450</v>
      </c>
      <c r="K3" s="219" t="s">
        <v>496</v>
      </c>
      <c r="M3" s="118" t="s">
        <v>56</v>
      </c>
      <c r="N3" s="117" t="s">
        <v>57</v>
      </c>
    </row>
    <row r="4" spans="1:14" ht="28.15" customHeight="1">
      <c r="A4" s="7" t="s">
        <v>497</v>
      </c>
      <c r="B4" s="7" t="s">
        <v>27</v>
      </c>
      <c r="C4" s="8" t="s">
        <v>27</v>
      </c>
      <c r="D4" s="7" t="s">
        <v>498</v>
      </c>
      <c r="E4" s="9">
        <v>46035</v>
      </c>
      <c r="F4" s="9">
        <v>46057</v>
      </c>
      <c r="G4" s="7" t="s">
        <v>100</v>
      </c>
      <c r="H4" s="10" t="s">
        <v>316</v>
      </c>
      <c r="I4" s="11" t="s">
        <v>495</v>
      </c>
      <c r="J4" s="12">
        <v>1450</v>
      </c>
      <c r="K4" s="219" t="s">
        <v>496</v>
      </c>
      <c r="M4" s="74">
        <v>46136</v>
      </c>
      <c r="N4" s="76">
        <v>10500</v>
      </c>
    </row>
    <row r="5" spans="1:14" ht="28.15" customHeight="1">
      <c r="A5" s="7" t="s">
        <v>499</v>
      </c>
      <c r="B5" s="7" t="s">
        <v>27</v>
      </c>
      <c r="C5" s="8" t="s">
        <v>27</v>
      </c>
      <c r="D5" s="7" t="s">
        <v>500</v>
      </c>
      <c r="E5" s="9">
        <v>46035</v>
      </c>
      <c r="F5" s="9">
        <v>46057</v>
      </c>
      <c r="G5" s="7" t="s">
        <v>100</v>
      </c>
      <c r="H5" s="10" t="s">
        <v>316</v>
      </c>
      <c r="I5" s="11" t="s">
        <v>495</v>
      </c>
      <c r="J5" s="12">
        <v>1450</v>
      </c>
      <c r="K5" s="219" t="s">
        <v>496</v>
      </c>
      <c r="M5" s="74">
        <v>46126</v>
      </c>
      <c r="N5" s="76">
        <v>7500</v>
      </c>
    </row>
    <row r="6" spans="1:14" ht="28.15" customHeight="1">
      <c r="A6" s="7" t="s">
        <v>501</v>
      </c>
      <c r="B6" s="7" t="s">
        <v>27</v>
      </c>
      <c r="C6" s="8" t="s">
        <v>27</v>
      </c>
      <c r="D6" s="7" t="s">
        <v>502</v>
      </c>
      <c r="E6" s="9">
        <v>46035</v>
      </c>
      <c r="F6" s="9">
        <v>46057</v>
      </c>
      <c r="G6" s="7" t="s">
        <v>100</v>
      </c>
      <c r="H6" s="10" t="s">
        <v>316</v>
      </c>
      <c r="I6" s="11" t="s">
        <v>495</v>
      </c>
      <c r="J6" s="12">
        <v>1450</v>
      </c>
      <c r="K6" s="219" t="s">
        <v>496</v>
      </c>
      <c r="M6" s="74">
        <v>41925</v>
      </c>
      <c r="N6" s="76">
        <v>5000</v>
      </c>
    </row>
    <row r="7" spans="1:14" ht="28.15" customHeight="1">
      <c r="A7" s="7" t="s">
        <v>503</v>
      </c>
      <c r="B7" s="7" t="s">
        <v>27</v>
      </c>
      <c r="C7" s="8" t="s">
        <v>27</v>
      </c>
      <c r="D7" s="7" t="s">
        <v>504</v>
      </c>
      <c r="E7" s="9">
        <v>46045</v>
      </c>
      <c r="F7" s="9">
        <v>46064</v>
      </c>
      <c r="G7" s="7" t="s">
        <v>100</v>
      </c>
      <c r="H7" s="10" t="s">
        <v>66</v>
      </c>
      <c r="I7" s="11" t="s">
        <v>105</v>
      </c>
      <c r="J7" s="12">
        <v>1300</v>
      </c>
      <c r="K7" s="12">
        <v>1300</v>
      </c>
    </row>
    <row r="8" spans="1:14" ht="28.15" customHeight="1">
      <c r="A8" s="7" t="s">
        <v>505</v>
      </c>
      <c r="B8" s="7" t="s">
        <v>27</v>
      </c>
      <c r="C8" s="8" t="s">
        <v>27</v>
      </c>
      <c r="D8" s="7" t="s">
        <v>506</v>
      </c>
      <c r="E8" s="9">
        <v>46037</v>
      </c>
      <c r="F8" s="9">
        <v>46069</v>
      </c>
      <c r="G8" s="7" t="s">
        <v>507</v>
      </c>
      <c r="H8" s="10" t="s">
        <v>66</v>
      </c>
      <c r="I8" s="11" t="s">
        <v>105</v>
      </c>
      <c r="J8" s="12">
        <v>1350</v>
      </c>
      <c r="K8" s="12">
        <v>1350</v>
      </c>
    </row>
    <row r="9" spans="1:14" ht="28.15" customHeight="1">
      <c r="A9" s="7" t="s">
        <v>508</v>
      </c>
      <c r="B9" s="7" t="s">
        <v>27</v>
      </c>
      <c r="C9" s="8" t="s">
        <v>27</v>
      </c>
      <c r="D9" s="7" t="s">
        <v>509</v>
      </c>
      <c r="E9" s="9">
        <v>46049</v>
      </c>
      <c r="F9" s="9">
        <v>46074</v>
      </c>
      <c r="G9" s="7" t="s">
        <v>65</v>
      </c>
      <c r="H9" s="10" t="s">
        <v>510</v>
      </c>
      <c r="I9" s="11" t="s">
        <v>495</v>
      </c>
      <c r="J9" s="12">
        <v>1200</v>
      </c>
      <c r="K9" s="12">
        <v>1200</v>
      </c>
    </row>
    <row r="10" spans="1:14" ht="28.15" customHeight="1">
      <c r="A10" s="7" t="s">
        <v>511</v>
      </c>
      <c r="B10" s="7" t="s">
        <v>27</v>
      </c>
      <c r="C10" s="8" t="s">
        <v>27</v>
      </c>
      <c r="D10" s="7" t="s">
        <v>512</v>
      </c>
      <c r="E10" s="9">
        <v>46053</v>
      </c>
      <c r="F10" s="9">
        <v>46081</v>
      </c>
      <c r="G10" s="7" t="s">
        <v>84</v>
      </c>
      <c r="H10" s="10" t="s">
        <v>316</v>
      </c>
      <c r="I10" s="11" t="s">
        <v>495</v>
      </c>
      <c r="J10" s="12">
        <v>1300</v>
      </c>
      <c r="K10" s="219" t="s">
        <v>496</v>
      </c>
    </row>
    <row r="11" spans="1:14" ht="28.15" customHeight="1">
      <c r="A11" s="7" t="s">
        <v>513</v>
      </c>
      <c r="B11" s="7" t="s">
        <v>27</v>
      </c>
      <c r="C11" s="8" t="s">
        <v>27</v>
      </c>
      <c r="D11" s="7" t="s">
        <v>514</v>
      </c>
      <c r="E11" s="9">
        <v>46053</v>
      </c>
      <c r="F11" s="9">
        <v>46081</v>
      </c>
      <c r="G11" s="7" t="s">
        <v>84</v>
      </c>
      <c r="H11" s="10" t="s">
        <v>316</v>
      </c>
      <c r="I11" s="11" t="s">
        <v>495</v>
      </c>
      <c r="J11" s="12">
        <v>1300</v>
      </c>
      <c r="K11" s="219" t="s">
        <v>496</v>
      </c>
    </row>
    <row r="12" spans="1:14" ht="28.15" customHeight="1">
      <c r="A12" s="7" t="s">
        <v>515</v>
      </c>
      <c r="B12" s="7" t="s">
        <v>27</v>
      </c>
      <c r="C12" s="8" t="s">
        <v>27</v>
      </c>
      <c r="D12" s="7" t="s">
        <v>516</v>
      </c>
      <c r="E12" s="9">
        <v>46056</v>
      </c>
      <c r="F12" s="9">
        <v>46082</v>
      </c>
      <c r="G12" s="7" t="s">
        <v>100</v>
      </c>
      <c r="H12" s="10" t="s">
        <v>66</v>
      </c>
      <c r="I12" s="11" t="s">
        <v>105</v>
      </c>
      <c r="J12" s="12">
        <v>1400</v>
      </c>
      <c r="K12" s="12">
        <v>1400</v>
      </c>
    </row>
    <row r="13" spans="1:14" ht="28.15" customHeight="1">
      <c r="A13" s="7" t="s">
        <v>517</v>
      </c>
      <c r="B13" s="7" t="s">
        <v>27</v>
      </c>
      <c r="C13" s="8" t="s">
        <v>27</v>
      </c>
      <c r="D13" s="7" t="s">
        <v>518</v>
      </c>
      <c r="E13" s="9">
        <v>46063</v>
      </c>
      <c r="F13" s="9">
        <v>46082</v>
      </c>
      <c r="G13" s="7" t="s">
        <v>79</v>
      </c>
      <c r="H13" s="10" t="s">
        <v>85</v>
      </c>
      <c r="I13" s="11" t="s">
        <v>495</v>
      </c>
      <c r="J13" s="12">
        <v>1250</v>
      </c>
      <c r="K13" s="12">
        <v>1250</v>
      </c>
    </row>
    <row r="14" spans="1:14" ht="28.15" customHeight="1">
      <c r="A14" s="7" t="s">
        <v>519</v>
      </c>
      <c r="B14" s="7" t="s">
        <v>27</v>
      </c>
      <c r="C14" s="8" t="s">
        <v>27</v>
      </c>
      <c r="D14" s="7" t="s">
        <v>520</v>
      </c>
      <c r="E14" s="9">
        <v>46047</v>
      </c>
      <c r="F14" s="9">
        <v>46085</v>
      </c>
      <c r="G14" s="7" t="s">
        <v>100</v>
      </c>
      <c r="H14" s="10" t="s">
        <v>510</v>
      </c>
      <c r="I14" s="11" t="s">
        <v>495</v>
      </c>
      <c r="J14" s="12">
        <v>1300</v>
      </c>
      <c r="K14" s="12">
        <v>1300</v>
      </c>
    </row>
    <row r="15" spans="1:14" ht="28.15" customHeight="1">
      <c r="A15" s="7" t="s">
        <v>521</v>
      </c>
      <c r="B15" s="7" t="s">
        <v>27</v>
      </c>
      <c r="C15" s="8" t="s">
        <v>27</v>
      </c>
      <c r="D15" s="7" t="s">
        <v>522</v>
      </c>
      <c r="E15" s="9">
        <v>46061</v>
      </c>
      <c r="F15" s="9">
        <v>46089</v>
      </c>
      <c r="G15" s="7" t="s">
        <v>89</v>
      </c>
      <c r="H15" s="10" t="s">
        <v>316</v>
      </c>
      <c r="I15" s="11" t="s">
        <v>495</v>
      </c>
      <c r="J15" s="12">
        <v>1300</v>
      </c>
      <c r="K15" s="219" t="s">
        <v>496</v>
      </c>
    </row>
    <row r="16" spans="1:14" ht="28.15" customHeight="1">
      <c r="A16" s="7" t="s">
        <v>523</v>
      </c>
      <c r="B16" s="7" t="s">
        <v>27</v>
      </c>
      <c r="C16" s="8" t="s">
        <v>27</v>
      </c>
      <c r="D16" s="7" t="s">
        <v>524</v>
      </c>
      <c r="E16" s="9">
        <v>46061</v>
      </c>
      <c r="F16" s="9">
        <v>46089</v>
      </c>
      <c r="G16" s="7" t="s">
        <v>89</v>
      </c>
      <c r="H16" s="10" t="s">
        <v>316</v>
      </c>
      <c r="I16" s="11" t="s">
        <v>495</v>
      </c>
      <c r="J16" s="12">
        <v>1300</v>
      </c>
      <c r="K16" s="219" t="s">
        <v>496</v>
      </c>
    </row>
    <row r="17" spans="1:11" ht="28.15" customHeight="1">
      <c r="A17" s="7" t="s">
        <v>525</v>
      </c>
      <c r="B17" s="7" t="s">
        <v>27</v>
      </c>
      <c r="C17" s="8" t="s">
        <v>27</v>
      </c>
      <c r="D17" s="7" t="s">
        <v>526</v>
      </c>
      <c r="E17" s="9">
        <v>46061</v>
      </c>
      <c r="F17" s="9">
        <v>46089</v>
      </c>
      <c r="G17" s="7" t="s">
        <v>89</v>
      </c>
      <c r="H17" s="10" t="s">
        <v>316</v>
      </c>
      <c r="I17" s="11" t="s">
        <v>495</v>
      </c>
      <c r="J17" s="12">
        <v>1300</v>
      </c>
      <c r="K17" s="219" t="s">
        <v>496</v>
      </c>
    </row>
    <row r="18" spans="1:11" ht="28.15" customHeight="1">
      <c r="A18" s="7" t="s">
        <v>527</v>
      </c>
      <c r="B18" s="7" t="s">
        <v>27</v>
      </c>
      <c r="C18" s="8" t="s">
        <v>27</v>
      </c>
      <c r="D18" s="7" t="s">
        <v>528</v>
      </c>
      <c r="E18" s="9">
        <v>46061</v>
      </c>
      <c r="F18" s="9">
        <v>46089</v>
      </c>
      <c r="G18" s="7" t="s">
        <v>89</v>
      </c>
      <c r="H18" s="10" t="s">
        <v>316</v>
      </c>
      <c r="I18" s="11" t="s">
        <v>495</v>
      </c>
      <c r="J18" s="12">
        <v>1300</v>
      </c>
      <c r="K18" s="219" t="s">
        <v>496</v>
      </c>
    </row>
    <row r="19" spans="1:11" ht="28.15" customHeight="1">
      <c r="A19" s="7" t="s">
        <v>529</v>
      </c>
      <c r="B19" s="7" t="s">
        <v>27</v>
      </c>
      <c r="C19" s="8" t="s">
        <v>27</v>
      </c>
      <c r="D19" s="7" t="s">
        <v>530</v>
      </c>
      <c r="E19" s="9">
        <v>46061</v>
      </c>
      <c r="F19" s="9">
        <v>46089</v>
      </c>
      <c r="G19" s="7" t="s">
        <v>89</v>
      </c>
      <c r="H19" s="10" t="s">
        <v>316</v>
      </c>
      <c r="I19" s="11" t="s">
        <v>495</v>
      </c>
      <c r="J19" s="12">
        <v>1300</v>
      </c>
      <c r="K19" s="219" t="s">
        <v>496</v>
      </c>
    </row>
    <row r="20" spans="1:11" ht="28.15" customHeight="1">
      <c r="A20" s="7" t="s">
        <v>531</v>
      </c>
      <c r="B20" s="7" t="s">
        <v>27</v>
      </c>
      <c r="C20" s="8" t="s">
        <v>27</v>
      </c>
      <c r="D20" s="7" t="s">
        <v>532</v>
      </c>
      <c r="E20" s="9">
        <v>46061</v>
      </c>
      <c r="F20" s="9">
        <v>46089</v>
      </c>
      <c r="G20" s="7" t="s">
        <v>89</v>
      </c>
      <c r="H20" s="10" t="s">
        <v>316</v>
      </c>
      <c r="I20" s="11" t="s">
        <v>495</v>
      </c>
      <c r="J20" s="12">
        <v>1300</v>
      </c>
      <c r="K20" s="219" t="s">
        <v>496</v>
      </c>
    </row>
    <row r="21" spans="1:11" ht="28.15" customHeight="1">
      <c r="A21" s="7" t="s">
        <v>533</v>
      </c>
      <c r="B21" s="7" t="s">
        <v>27</v>
      </c>
      <c r="C21" s="8" t="s">
        <v>27</v>
      </c>
      <c r="D21" s="7" t="s">
        <v>534</v>
      </c>
      <c r="E21" s="9">
        <v>46061</v>
      </c>
      <c r="F21" s="9">
        <v>46089</v>
      </c>
      <c r="G21" s="7" t="s">
        <v>79</v>
      </c>
      <c r="H21" s="10" t="s">
        <v>66</v>
      </c>
      <c r="I21" s="11" t="s">
        <v>495</v>
      </c>
      <c r="J21" s="12">
        <v>1250</v>
      </c>
      <c r="K21" s="12">
        <v>1250</v>
      </c>
    </row>
    <row r="22" spans="1:11" ht="28.15" customHeight="1">
      <c r="A22" s="7" t="s">
        <v>535</v>
      </c>
      <c r="B22" s="7" t="s">
        <v>27</v>
      </c>
      <c r="C22" s="8" t="s">
        <v>27</v>
      </c>
      <c r="D22" s="7" t="s">
        <v>536</v>
      </c>
      <c r="E22" s="9">
        <v>46068</v>
      </c>
      <c r="F22" s="9">
        <v>46089</v>
      </c>
      <c r="G22" s="7" t="s">
        <v>89</v>
      </c>
      <c r="H22" s="10" t="s">
        <v>66</v>
      </c>
      <c r="I22" s="11" t="s">
        <v>495</v>
      </c>
      <c r="J22" s="12">
        <v>2600</v>
      </c>
      <c r="K22" s="12">
        <v>2600</v>
      </c>
    </row>
    <row r="23" spans="1:11" ht="28.15" customHeight="1">
      <c r="A23" s="7" t="s">
        <v>537</v>
      </c>
      <c r="B23" s="7" t="s">
        <v>27</v>
      </c>
      <c r="C23" s="8" t="s">
        <v>27</v>
      </c>
      <c r="D23" s="7" t="s">
        <v>538</v>
      </c>
      <c r="E23" s="9">
        <v>46068</v>
      </c>
      <c r="F23" s="9">
        <v>46089</v>
      </c>
      <c r="G23" s="7" t="s">
        <v>89</v>
      </c>
      <c r="H23" s="10" t="s">
        <v>66</v>
      </c>
      <c r="I23" s="11" t="s">
        <v>495</v>
      </c>
      <c r="J23" s="12">
        <v>2600</v>
      </c>
      <c r="K23" s="12">
        <v>2600</v>
      </c>
    </row>
    <row r="24" spans="1:11" ht="28.15" customHeight="1">
      <c r="A24" s="7" t="s">
        <v>539</v>
      </c>
      <c r="B24" s="7" t="s">
        <v>27</v>
      </c>
      <c r="C24" s="8" t="s">
        <v>27</v>
      </c>
      <c r="D24" s="7" t="s">
        <v>540</v>
      </c>
      <c r="E24" s="9">
        <v>46060</v>
      </c>
      <c r="F24" s="9">
        <v>46095</v>
      </c>
      <c r="G24" s="7" t="s">
        <v>84</v>
      </c>
      <c r="H24" s="10" t="s">
        <v>316</v>
      </c>
      <c r="I24" s="11" t="s">
        <v>495</v>
      </c>
      <c r="J24" s="12">
        <v>1300</v>
      </c>
      <c r="K24" s="219" t="s">
        <v>496</v>
      </c>
    </row>
    <row r="25" spans="1:11" ht="28.15" customHeight="1">
      <c r="A25" s="7" t="s">
        <v>541</v>
      </c>
      <c r="B25" s="7" t="s">
        <v>27</v>
      </c>
      <c r="C25" s="8" t="s">
        <v>27</v>
      </c>
      <c r="D25" s="7" t="s">
        <v>542</v>
      </c>
      <c r="E25" s="9">
        <v>46060</v>
      </c>
      <c r="F25" s="9">
        <v>46095</v>
      </c>
      <c r="G25" s="7" t="s">
        <v>84</v>
      </c>
      <c r="H25" s="10" t="s">
        <v>316</v>
      </c>
      <c r="I25" s="11" t="s">
        <v>495</v>
      </c>
      <c r="J25" s="12">
        <v>1300</v>
      </c>
      <c r="K25" s="219" t="s">
        <v>496</v>
      </c>
    </row>
    <row r="26" spans="1:11" ht="28.15" customHeight="1">
      <c r="A26" s="7" t="s">
        <v>543</v>
      </c>
      <c r="B26" s="7" t="s">
        <v>27</v>
      </c>
      <c r="C26" s="8" t="s">
        <v>27</v>
      </c>
      <c r="D26" s="7" t="s">
        <v>544</v>
      </c>
      <c r="E26" s="9">
        <v>46060</v>
      </c>
      <c r="F26" s="9">
        <v>46095</v>
      </c>
      <c r="G26" s="7" t="s">
        <v>84</v>
      </c>
      <c r="H26" s="10" t="s">
        <v>316</v>
      </c>
      <c r="I26" s="11" t="s">
        <v>495</v>
      </c>
      <c r="J26" s="12">
        <v>1300</v>
      </c>
      <c r="K26" s="219" t="s">
        <v>496</v>
      </c>
    </row>
    <row r="27" spans="1:11" ht="28.15" customHeight="1">
      <c r="A27" s="7" t="s">
        <v>545</v>
      </c>
      <c r="B27" s="7" t="s">
        <v>27</v>
      </c>
      <c r="C27" s="8" t="s">
        <v>27</v>
      </c>
      <c r="D27" s="7" t="s">
        <v>546</v>
      </c>
      <c r="E27" s="9">
        <v>46060</v>
      </c>
      <c r="F27" s="9">
        <v>46095</v>
      </c>
      <c r="G27" s="7" t="s">
        <v>84</v>
      </c>
      <c r="H27" s="10" t="s">
        <v>316</v>
      </c>
      <c r="I27" s="11" t="s">
        <v>495</v>
      </c>
      <c r="J27" s="12">
        <v>1300</v>
      </c>
      <c r="K27" s="219" t="s">
        <v>496</v>
      </c>
    </row>
    <row r="28" spans="1:11" ht="28.15" customHeight="1">
      <c r="A28" s="7" t="s">
        <v>547</v>
      </c>
      <c r="B28" s="7" t="s">
        <v>27</v>
      </c>
      <c r="C28" s="8" t="s">
        <v>27</v>
      </c>
      <c r="D28" s="7" t="s">
        <v>548</v>
      </c>
      <c r="E28" s="9">
        <v>46061</v>
      </c>
      <c r="F28" s="9">
        <v>46109</v>
      </c>
      <c r="G28" s="7" t="s">
        <v>65</v>
      </c>
      <c r="H28" s="10" t="s">
        <v>66</v>
      </c>
      <c r="I28" s="11" t="s">
        <v>122</v>
      </c>
      <c r="J28" s="12">
        <v>3400</v>
      </c>
      <c r="K28" s="12">
        <v>3400</v>
      </c>
    </row>
    <row r="29" spans="1:11" ht="28.15" customHeight="1">
      <c r="A29" s="7" t="s">
        <v>549</v>
      </c>
      <c r="B29" s="7" t="s">
        <v>27</v>
      </c>
      <c r="C29" s="8" t="s">
        <v>27</v>
      </c>
      <c r="D29" s="7" t="s">
        <v>550</v>
      </c>
      <c r="E29" s="9">
        <v>46068</v>
      </c>
      <c r="F29" s="9">
        <v>46114</v>
      </c>
      <c r="G29" s="7" t="s">
        <v>482</v>
      </c>
      <c r="H29" s="10" t="s">
        <v>66</v>
      </c>
      <c r="I29" s="11" t="s">
        <v>495</v>
      </c>
      <c r="J29" s="12">
        <v>2450</v>
      </c>
      <c r="K29" s="12">
        <v>2450</v>
      </c>
    </row>
    <row r="30" spans="1:11" ht="28.15" customHeight="1">
      <c r="A30" s="7" t="s">
        <v>551</v>
      </c>
      <c r="B30" s="7" t="s">
        <v>27</v>
      </c>
      <c r="C30" s="8" t="s">
        <v>27</v>
      </c>
      <c r="D30" s="7" t="s">
        <v>552</v>
      </c>
      <c r="E30" s="9">
        <v>46066</v>
      </c>
      <c r="F30" s="9">
        <v>46116</v>
      </c>
      <c r="G30" s="7" t="s">
        <v>100</v>
      </c>
      <c r="H30" s="10" t="s">
        <v>510</v>
      </c>
      <c r="I30" s="11" t="s">
        <v>495</v>
      </c>
      <c r="J30" s="12">
        <v>1450</v>
      </c>
      <c r="K30" s="12">
        <v>1450</v>
      </c>
    </row>
    <row r="31" spans="1:11" ht="28.15" customHeight="1">
      <c r="A31" s="7" t="s">
        <v>553</v>
      </c>
      <c r="B31" s="7" t="s">
        <v>27</v>
      </c>
      <c r="C31" s="8" t="s">
        <v>27</v>
      </c>
      <c r="D31" s="7" t="s">
        <v>554</v>
      </c>
      <c r="E31" s="9">
        <v>46066</v>
      </c>
      <c r="F31" s="9">
        <v>46116</v>
      </c>
      <c r="G31" s="7" t="s">
        <v>100</v>
      </c>
      <c r="H31" s="10" t="s">
        <v>510</v>
      </c>
      <c r="I31" s="11" t="s">
        <v>495</v>
      </c>
      <c r="J31" s="12">
        <v>1450</v>
      </c>
      <c r="K31" s="12">
        <v>1450</v>
      </c>
    </row>
    <row r="32" spans="1:11" ht="15" customHeight="1">
      <c r="I32" s="1"/>
      <c r="J32" s="6"/>
      <c r="K32"/>
    </row>
    <row r="33" spans="9:11" ht="15" customHeight="1">
      <c r="I33" s="1"/>
      <c r="J33" s="6"/>
      <c r="K33"/>
    </row>
    <row r="34" spans="9:11" ht="15" customHeight="1">
      <c r="I34" s="1"/>
      <c r="J34" s="6"/>
      <c r="K34"/>
    </row>
    <row r="35" spans="9:11" ht="15" customHeight="1">
      <c r="I35" s="1"/>
      <c r="J35" s="6"/>
      <c r="K35"/>
    </row>
  </sheetData>
  <sortState xmlns:xlrd2="http://schemas.microsoft.com/office/spreadsheetml/2017/richdata2" ref="A3:K31">
    <sortCondition ref="F3:F31"/>
  </sortState>
  <conditionalFormatting sqref="A1:A1048576">
    <cfRule type="duplicateValues" dxfId="3125" priority="30"/>
    <cfRule type="duplicateValues" dxfId="3124" priority="429"/>
    <cfRule type="duplicateValues" dxfId="3123" priority="430"/>
  </conditionalFormatting>
  <conditionalFormatting sqref="D1:D1048576">
    <cfRule type="duplicateValues" dxfId="3122" priority="35"/>
    <cfRule type="duplicateValues" dxfId="3121" priority="39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FAA57-0622-466A-AAA3-4DB5FBEF2472}">
  <sheetPr codeName="Hoja5">
    <tabColor theme="8" tint="-0.249977111117893"/>
  </sheetPr>
  <dimension ref="A1:Q30"/>
  <sheetViews>
    <sheetView topLeftCell="A17" zoomScaleNormal="100" workbookViewId="0">
      <selection activeCell="A27" sqref="A27"/>
    </sheetView>
  </sheetViews>
  <sheetFormatPr defaultColWidth="11.42578125" defaultRowHeight="14.45"/>
  <cols>
    <col min="1" max="1" width="14.7109375" bestFit="1" customWidth="1"/>
    <col min="2" max="2" width="13.42578125" bestFit="1" customWidth="1"/>
    <col min="3" max="3" width="17.42578125" customWidth="1"/>
    <col min="5" max="5" width="13.42578125" bestFit="1" customWidth="1"/>
    <col min="10" max="10" width="15.42578125" style="206" customWidth="1"/>
    <col min="11" max="11" width="9.7109375" customWidth="1"/>
    <col min="12" max="13" width="11.140625" customWidth="1"/>
    <col min="14" max="14" width="21.28515625" customWidth="1"/>
  </cols>
  <sheetData>
    <row r="1" spans="1:17" ht="19.899999999999999" customHeight="1">
      <c r="N1" s="94">
        <f>SUM(N3:N116)-SUM(Q4:Q14)</f>
        <v>12650</v>
      </c>
    </row>
    <row r="2" spans="1:17" ht="30" customHeight="1">
      <c r="A2" s="46" t="s">
        <v>45</v>
      </c>
      <c r="B2" s="46" t="s">
        <v>46</v>
      </c>
      <c r="C2" s="46" t="s">
        <v>47</v>
      </c>
      <c r="D2" s="46" t="s">
        <v>48</v>
      </c>
      <c r="E2" s="46" t="s">
        <v>49</v>
      </c>
      <c r="F2" s="46" t="s">
        <v>50</v>
      </c>
      <c r="G2" s="46" t="s">
        <v>51</v>
      </c>
      <c r="H2" s="46" t="s">
        <v>52</v>
      </c>
      <c r="I2" s="47" t="s">
        <v>53</v>
      </c>
      <c r="J2" s="46" t="s">
        <v>54</v>
      </c>
      <c r="K2" s="46" t="s">
        <v>58</v>
      </c>
      <c r="L2" s="46" t="s">
        <v>555</v>
      </c>
      <c r="M2" s="46" t="s">
        <v>556</v>
      </c>
      <c r="N2" s="46" t="s">
        <v>55</v>
      </c>
    </row>
    <row r="3" spans="1:17" ht="24" customHeight="1">
      <c r="A3" s="210" t="s">
        <v>557</v>
      </c>
      <c r="B3" s="7" t="s">
        <v>558</v>
      </c>
      <c r="C3" s="7" t="s">
        <v>18</v>
      </c>
      <c r="D3" s="7" t="s">
        <v>559</v>
      </c>
      <c r="E3" s="7" t="s">
        <v>560</v>
      </c>
      <c r="F3" s="9">
        <v>45668</v>
      </c>
      <c r="G3" s="9">
        <v>46056</v>
      </c>
      <c r="H3" s="7" t="s">
        <v>482</v>
      </c>
      <c r="I3" s="212" t="s">
        <v>66</v>
      </c>
      <c r="J3" s="221" t="s">
        <v>105</v>
      </c>
      <c r="K3" s="13">
        <v>1500</v>
      </c>
      <c r="L3" s="13">
        <v>0</v>
      </c>
      <c r="M3" s="13">
        <v>0</v>
      </c>
      <c r="N3" s="242">
        <f t="shared" ref="N3:N21" si="0">K3+L3</f>
        <v>1500</v>
      </c>
      <c r="P3" s="132" t="s">
        <v>56</v>
      </c>
      <c r="Q3" s="133" t="s">
        <v>57</v>
      </c>
    </row>
    <row r="4" spans="1:17" ht="24" customHeight="1">
      <c r="A4" s="210" t="s">
        <v>561</v>
      </c>
      <c r="B4" s="7" t="s">
        <v>558</v>
      </c>
      <c r="C4" s="7" t="s">
        <v>18</v>
      </c>
      <c r="D4" s="7" t="s">
        <v>559</v>
      </c>
      <c r="E4" s="7" t="s">
        <v>562</v>
      </c>
      <c r="F4" s="9">
        <v>46054</v>
      </c>
      <c r="G4" s="9">
        <v>46077</v>
      </c>
      <c r="H4" s="7" t="s">
        <v>482</v>
      </c>
      <c r="I4" s="212" t="s">
        <v>66</v>
      </c>
      <c r="J4" s="221" t="s">
        <v>105</v>
      </c>
      <c r="K4" s="13">
        <v>1550</v>
      </c>
      <c r="L4" s="13">
        <v>0</v>
      </c>
      <c r="M4" s="13">
        <v>0</v>
      </c>
      <c r="N4" s="242">
        <f t="shared" si="0"/>
        <v>1550</v>
      </c>
      <c r="P4" s="150">
        <v>46112</v>
      </c>
      <c r="Q4" s="152">
        <v>6500</v>
      </c>
    </row>
    <row r="5" spans="1:17" ht="24" customHeight="1">
      <c r="A5" s="210" t="s">
        <v>563</v>
      </c>
      <c r="B5" s="7" t="s">
        <v>558</v>
      </c>
      <c r="C5" s="7" t="s">
        <v>18</v>
      </c>
      <c r="D5" s="7" t="s">
        <v>559</v>
      </c>
      <c r="E5" s="7" t="s">
        <v>564</v>
      </c>
      <c r="F5" s="9">
        <v>46054</v>
      </c>
      <c r="G5" s="9">
        <v>46077</v>
      </c>
      <c r="H5" s="7" t="s">
        <v>482</v>
      </c>
      <c r="I5" s="212" t="s">
        <v>66</v>
      </c>
      <c r="J5" s="221" t="s">
        <v>105</v>
      </c>
      <c r="K5" s="13">
        <v>1550</v>
      </c>
      <c r="L5" s="13">
        <v>0</v>
      </c>
      <c r="M5" s="13">
        <v>0</v>
      </c>
      <c r="N5" s="242">
        <f t="shared" si="0"/>
        <v>1550</v>
      </c>
      <c r="P5" s="150">
        <v>46185</v>
      </c>
      <c r="Q5" s="152">
        <v>20000</v>
      </c>
    </row>
    <row r="6" spans="1:17" ht="24" customHeight="1">
      <c r="A6" s="210" t="s">
        <v>565</v>
      </c>
      <c r="B6" s="7" t="s">
        <v>558</v>
      </c>
      <c r="C6" s="7" t="s">
        <v>18</v>
      </c>
      <c r="D6" s="7" t="s">
        <v>559</v>
      </c>
      <c r="E6" s="7" t="s">
        <v>566</v>
      </c>
      <c r="F6" s="9">
        <v>46051</v>
      </c>
      <c r="G6" s="9">
        <v>46082</v>
      </c>
      <c r="H6" s="7" t="s">
        <v>65</v>
      </c>
      <c r="I6" s="212" t="s">
        <v>66</v>
      </c>
      <c r="J6" s="221" t="s">
        <v>67</v>
      </c>
      <c r="K6" s="13">
        <v>3750</v>
      </c>
      <c r="L6" s="13">
        <v>0</v>
      </c>
      <c r="M6" s="13">
        <v>0</v>
      </c>
      <c r="N6" s="242">
        <f t="shared" si="0"/>
        <v>3750</v>
      </c>
      <c r="P6" s="150">
        <v>46212</v>
      </c>
      <c r="Q6" s="152">
        <v>20000</v>
      </c>
    </row>
    <row r="7" spans="1:17" ht="24" customHeight="1">
      <c r="A7" s="210" t="s">
        <v>567</v>
      </c>
      <c r="B7" s="7" t="s">
        <v>558</v>
      </c>
      <c r="C7" s="7" t="s">
        <v>18</v>
      </c>
      <c r="D7" s="7" t="s">
        <v>559</v>
      </c>
      <c r="E7" s="7" t="s">
        <v>568</v>
      </c>
      <c r="F7" s="9">
        <v>46051</v>
      </c>
      <c r="G7" s="9">
        <v>46082</v>
      </c>
      <c r="H7" s="7" t="s">
        <v>65</v>
      </c>
      <c r="I7" s="212" t="s">
        <v>66</v>
      </c>
      <c r="J7" s="221" t="s">
        <v>67</v>
      </c>
      <c r="K7" s="13">
        <v>3750</v>
      </c>
      <c r="L7" s="13">
        <v>0</v>
      </c>
      <c r="M7" s="13">
        <v>0</v>
      </c>
      <c r="N7" s="242">
        <f t="shared" si="0"/>
        <v>3750</v>
      </c>
      <c r="P7" s="150">
        <v>46227</v>
      </c>
      <c r="Q7" s="338">
        <v>8200</v>
      </c>
    </row>
    <row r="8" spans="1:17" ht="24" customHeight="1">
      <c r="A8" s="210" t="s">
        <v>569</v>
      </c>
      <c r="B8" s="7" t="s">
        <v>570</v>
      </c>
      <c r="C8" s="7" t="s">
        <v>18</v>
      </c>
      <c r="D8" s="7" t="s">
        <v>559</v>
      </c>
      <c r="E8" s="7" t="s">
        <v>571</v>
      </c>
      <c r="F8" s="9">
        <v>46054</v>
      </c>
      <c r="G8" s="9">
        <v>46082</v>
      </c>
      <c r="H8" s="7" t="s">
        <v>100</v>
      </c>
      <c r="I8" s="212" t="s">
        <v>66</v>
      </c>
      <c r="J8" s="221" t="s">
        <v>105</v>
      </c>
      <c r="K8" s="13">
        <v>1600</v>
      </c>
      <c r="L8" s="13">
        <v>0</v>
      </c>
      <c r="M8" s="13">
        <v>0</v>
      </c>
      <c r="N8" s="242">
        <f t="shared" si="0"/>
        <v>1600</v>
      </c>
      <c r="P8" s="337">
        <v>46247</v>
      </c>
      <c r="Q8" s="339">
        <v>6250</v>
      </c>
    </row>
    <row r="9" spans="1:17" ht="24" customHeight="1">
      <c r="A9" s="210" t="s">
        <v>572</v>
      </c>
      <c r="B9" s="7" t="s">
        <v>558</v>
      </c>
      <c r="C9" s="7" t="s">
        <v>18</v>
      </c>
      <c r="D9" s="7" t="s">
        <v>559</v>
      </c>
      <c r="E9" s="7" t="s">
        <v>573</v>
      </c>
      <c r="F9" s="9">
        <v>46047</v>
      </c>
      <c r="G9" s="9">
        <v>46089</v>
      </c>
      <c r="H9" s="7" t="s">
        <v>100</v>
      </c>
      <c r="I9" s="212" t="s">
        <v>510</v>
      </c>
      <c r="J9" s="221" t="s">
        <v>105</v>
      </c>
      <c r="K9" s="13">
        <v>1500</v>
      </c>
      <c r="L9" s="13">
        <v>0</v>
      </c>
      <c r="M9" s="13">
        <v>0</v>
      </c>
      <c r="N9" s="242">
        <f t="shared" si="0"/>
        <v>1500</v>
      </c>
      <c r="P9" s="337">
        <v>46289</v>
      </c>
      <c r="Q9" s="339">
        <v>10000</v>
      </c>
    </row>
    <row r="10" spans="1:17" ht="24" customHeight="1">
      <c r="A10" s="210" t="s">
        <v>574</v>
      </c>
      <c r="B10" s="7" t="s">
        <v>558</v>
      </c>
      <c r="C10" s="7" t="s">
        <v>18</v>
      </c>
      <c r="D10" s="7" t="s">
        <v>559</v>
      </c>
      <c r="E10" s="7" t="s">
        <v>575</v>
      </c>
      <c r="F10" s="9">
        <v>46065</v>
      </c>
      <c r="G10" s="9">
        <v>46092</v>
      </c>
      <c r="H10" s="7" t="s">
        <v>100</v>
      </c>
      <c r="I10" s="212" t="s">
        <v>66</v>
      </c>
      <c r="J10" s="221" t="s">
        <v>122</v>
      </c>
      <c r="K10" s="13">
        <v>3550</v>
      </c>
      <c r="L10" s="13">
        <v>0</v>
      </c>
      <c r="M10" s="13">
        <v>0</v>
      </c>
      <c r="N10" s="242">
        <f t="shared" si="0"/>
        <v>3550</v>
      </c>
      <c r="P10" s="337">
        <v>46308</v>
      </c>
      <c r="Q10" s="339">
        <v>10000</v>
      </c>
    </row>
    <row r="11" spans="1:17" ht="24" customHeight="1">
      <c r="A11" s="210" t="s">
        <v>576</v>
      </c>
      <c r="B11" s="7" t="s">
        <v>558</v>
      </c>
      <c r="C11" s="7" t="s">
        <v>18</v>
      </c>
      <c r="D11" s="7" t="s">
        <v>559</v>
      </c>
      <c r="E11" s="7" t="s">
        <v>577</v>
      </c>
      <c r="F11" s="9">
        <v>46065</v>
      </c>
      <c r="G11" s="9">
        <v>46092</v>
      </c>
      <c r="H11" s="7" t="s">
        <v>100</v>
      </c>
      <c r="I11" s="212" t="s">
        <v>66</v>
      </c>
      <c r="J11" s="221" t="s">
        <v>122</v>
      </c>
      <c r="K11" s="13">
        <v>3550</v>
      </c>
      <c r="L11" s="13">
        <v>0</v>
      </c>
      <c r="M11" s="13">
        <v>0</v>
      </c>
      <c r="N11" s="242">
        <f t="shared" si="0"/>
        <v>3550</v>
      </c>
    </row>
    <row r="12" spans="1:17" ht="24" customHeight="1">
      <c r="A12" s="210" t="s">
        <v>578</v>
      </c>
      <c r="B12" s="7" t="s">
        <v>558</v>
      </c>
      <c r="C12" s="7" t="s">
        <v>18</v>
      </c>
      <c r="D12" s="7" t="s">
        <v>559</v>
      </c>
      <c r="E12" s="7" t="s">
        <v>579</v>
      </c>
      <c r="F12" s="9">
        <v>46066</v>
      </c>
      <c r="G12" s="9">
        <v>46101</v>
      </c>
      <c r="H12" s="7" t="s">
        <v>100</v>
      </c>
      <c r="I12" s="212" t="s">
        <v>510</v>
      </c>
      <c r="J12" s="221" t="s">
        <v>105</v>
      </c>
      <c r="K12" s="13">
        <v>1450</v>
      </c>
      <c r="L12" s="13">
        <v>0</v>
      </c>
      <c r="M12" s="13">
        <v>0</v>
      </c>
      <c r="N12" s="242">
        <f t="shared" si="0"/>
        <v>1450</v>
      </c>
    </row>
    <row r="13" spans="1:17" ht="24" customHeight="1">
      <c r="A13" s="210" t="s">
        <v>580</v>
      </c>
      <c r="B13" s="7" t="s">
        <v>558</v>
      </c>
      <c r="C13" s="7" t="s">
        <v>18</v>
      </c>
      <c r="D13" s="7" t="s">
        <v>559</v>
      </c>
      <c r="E13" s="7" t="s">
        <v>581</v>
      </c>
      <c r="F13" s="9">
        <v>46086</v>
      </c>
      <c r="G13" s="9">
        <v>46106</v>
      </c>
      <c r="H13" s="7" t="s">
        <v>507</v>
      </c>
      <c r="I13" s="212" t="s">
        <v>66</v>
      </c>
      <c r="J13" s="221" t="s">
        <v>105</v>
      </c>
      <c r="K13" s="13">
        <v>3000</v>
      </c>
      <c r="L13" s="13">
        <v>0</v>
      </c>
      <c r="M13" s="13">
        <v>0</v>
      </c>
      <c r="N13" s="242">
        <v>2950</v>
      </c>
      <c r="P13" s="25"/>
    </row>
    <row r="14" spans="1:17" ht="24" customHeight="1">
      <c r="A14" s="210" t="s">
        <v>582</v>
      </c>
      <c r="B14" s="7" t="s">
        <v>558</v>
      </c>
      <c r="C14" s="7" t="s">
        <v>18</v>
      </c>
      <c r="D14" s="7" t="s">
        <v>559</v>
      </c>
      <c r="E14" s="7" t="s">
        <v>583</v>
      </c>
      <c r="F14" s="9">
        <v>46086</v>
      </c>
      <c r="G14" s="9">
        <v>46106</v>
      </c>
      <c r="H14" s="7" t="s">
        <v>507</v>
      </c>
      <c r="I14" s="212" t="s">
        <v>66</v>
      </c>
      <c r="J14" s="221" t="s">
        <v>105</v>
      </c>
      <c r="K14" s="13">
        <v>3100</v>
      </c>
      <c r="L14" s="13">
        <v>0</v>
      </c>
      <c r="M14" s="13">
        <v>0</v>
      </c>
      <c r="N14" s="242">
        <f t="shared" si="0"/>
        <v>3100</v>
      </c>
    </row>
    <row r="15" spans="1:17" ht="24" customHeight="1">
      <c r="A15" s="210" t="s">
        <v>584</v>
      </c>
      <c r="B15" s="7" t="s">
        <v>558</v>
      </c>
      <c r="C15" s="7" t="s">
        <v>18</v>
      </c>
      <c r="D15" s="7" t="s">
        <v>559</v>
      </c>
      <c r="E15" s="7" t="s">
        <v>585</v>
      </c>
      <c r="F15" s="9">
        <v>46068</v>
      </c>
      <c r="G15" s="9">
        <v>46112</v>
      </c>
      <c r="H15" s="7" t="s">
        <v>482</v>
      </c>
      <c r="I15" s="212" t="s">
        <v>66</v>
      </c>
      <c r="J15" s="221" t="s">
        <v>105</v>
      </c>
      <c r="K15" s="13">
        <v>2550</v>
      </c>
      <c r="L15" s="13">
        <v>0</v>
      </c>
      <c r="M15" s="13">
        <v>0</v>
      </c>
      <c r="N15" s="242">
        <f t="shared" si="0"/>
        <v>2550</v>
      </c>
    </row>
    <row r="16" spans="1:17" ht="24" customHeight="1">
      <c r="A16" s="210" t="s">
        <v>586</v>
      </c>
      <c r="B16" s="7" t="s">
        <v>558</v>
      </c>
      <c r="C16" s="7" t="s">
        <v>18</v>
      </c>
      <c r="D16" s="7" t="s">
        <v>559</v>
      </c>
      <c r="E16" s="7" t="s">
        <v>587</v>
      </c>
      <c r="F16" s="9">
        <v>46105</v>
      </c>
      <c r="G16" s="9">
        <v>46130</v>
      </c>
      <c r="H16" s="7" t="s">
        <v>65</v>
      </c>
      <c r="I16" s="212" t="s">
        <v>510</v>
      </c>
      <c r="J16" s="221" t="s">
        <v>588</v>
      </c>
      <c r="K16" s="13">
        <v>3150</v>
      </c>
      <c r="L16" s="13">
        <v>0</v>
      </c>
      <c r="M16" s="13">
        <v>0</v>
      </c>
      <c r="N16" s="242">
        <f t="shared" si="0"/>
        <v>3150</v>
      </c>
    </row>
    <row r="17" spans="1:14" ht="24" customHeight="1">
      <c r="A17" s="210" t="s">
        <v>589</v>
      </c>
      <c r="B17" s="7" t="s">
        <v>558</v>
      </c>
      <c r="C17" s="7" t="s">
        <v>18</v>
      </c>
      <c r="D17" s="7" t="s">
        <v>559</v>
      </c>
      <c r="E17" s="7" t="s">
        <v>590</v>
      </c>
      <c r="F17" s="9">
        <v>46105</v>
      </c>
      <c r="G17" s="9">
        <v>46131</v>
      </c>
      <c r="H17" s="7" t="s">
        <v>100</v>
      </c>
      <c r="I17" s="212" t="s">
        <v>66</v>
      </c>
      <c r="J17" s="221" t="s">
        <v>105</v>
      </c>
      <c r="K17" s="13">
        <v>2900</v>
      </c>
      <c r="L17" s="13">
        <v>0</v>
      </c>
      <c r="M17" s="13">
        <v>0</v>
      </c>
      <c r="N17" s="242">
        <f t="shared" si="0"/>
        <v>2900</v>
      </c>
    </row>
    <row r="18" spans="1:14" ht="24" customHeight="1">
      <c r="A18" s="210" t="s">
        <v>591</v>
      </c>
      <c r="B18" s="7" t="s">
        <v>558</v>
      </c>
      <c r="C18" s="7" t="s">
        <v>18</v>
      </c>
      <c r="D18" s="7" t="s">
        <v>559</v>
      </c>
      <c r="E18" s="7" t="s">
        <v>592</v>
      </c>
      <c r="F18" s="9">
        <v>46119</v>
      </c>
      <c r="G18" s="9">
        <v>46144</v>
      </c>
      <c r="H18" s="7" t="s">
        <v>65</v>
      </c>
      <c r="I18" s="212" t="s">
        <v>510</v>
      </c>
      <c r="J18" s="221" t="s">
        <v>588</v>
      </c>
      <c r="K18" s="13">
        <v>3150</v>
      </c>
      <c r="L18" s="13">
        <v>0</v>
      </c>
      <c r="M18" s="13">
        <v>0</v>
      </c>
      <c r="N18" s="242">
        <f t="shared" si="0"/>
        <v>3150</v>
      </c>
    </row>
    <row r="19" spans="1:14" ht="24" customHeight="1">
      <c r="A19" s="210" t="s">
        <v>593</v>
      </c>
      <c r="B19" s="7" t="s">
        <v>558</v>
      </c>
      <c r="C19" s="7" t="s">
        <v>18</v>
      </c>
      <c r="D19" s="7" t="s">
        <v>559</v>
      </c>
      <c r="E19" s="7" t="s">
        <v>594</v>
      </c>
      <c r="F19" s="9">
        <v>46119</v>
      </c>
      <c r="G19" s="9">
        <v>46148</v>
      </c>
      <c r="H19" s="7" t="s">
        <v>65</v>
      </c>
      <c r="I19" s="212" t="s">
        <v>510</v>
      </c>
      <c r="J19" s="221" t="s">
        <v>105</v>
      </c>
      <c r="K19" s="13">
        <v>3150</v>
      </c>
      <c r="L19" s="13">
        <v>0</v>
      </c>
      <c r="M19" s="13">
        <v>0</v>
      </c>
      <c r="N19" s="242">
        <f t="shared" si="0"/>
        <v>3150</v>
      </c>
    </row>
    <row r="20" spans="1:14" ht="24" customHeight="1">
      <c r="A20" s="210" t="s">
        <v>595</v>
      </c>
      <c r="B20" s="7" t="s">
        <v>558</v>
      </c>
      <c r="C20" s="7" t="s">
        <v>18</v>
      </c>
      <c r="D20" s="7" t="s">
        <v>559</v>
      </c>
      <c r="E20" s="7" t="s">
        <v>596</v>
      </c>
      <c r="F20" s="9">
        <v>46147</v>
      </c>
      <c r="G20" s="9">
        <v>46178</v>
      </c>
      <c r="H20" s="7" t="s">
        <v>65</v>
      </c>
      <c r="I20" s="212" t="s">
        <v>510</v>
      </c>
      <c r="J20" s="221" t="s">
        <v>105</v>
      </c>
      <c r="K20" s="13">
        <v>3050</v>
      </c>
      <c r="L20" s="13">
        <v>0</v>
      </c>
      <c r="M20" s="13">
        <v>0</v>
      </c>
      <c r="N20" s="242">
        <f t="shared" si="0"/>
        <v>3050</v>
      </c>
    </row>
    <row r="21" spans="1:14" ht="24" customHeight="1">
      <c r="A21" s="210" t="s">
        <v>597</v>
      </c>
      <c r="B21" s="7" t="s">
        <v>558</v>
      </c>
      <c r="C21" s="211" t="s">
        <v>18</v>
      </c>
      <c r="D21" s="7" t="s">
        <v>559</v>
      </c>
      <c r="E21" s="7" t="s">
        <v>598</v>
      </c>
      <c r="F21" s="9">
        <v>46180</v>
      </c>
      <c r="G21" s="9">
        <v>46211</v>
      </c>
      <c r="H21" s="7" t="s">
        <v>65</v>
      </c>
      <c r="I21" s="212" t="s">
        <v>510</v>
      </c>
      <c r="J21" s="221" t="s">
        <v>105</v>
      </c>
      <c r="K21" s="13">
        <v>5350</v>
      </c>
      <c r="L21" s="13">
        <v>0</v>
      </c>
      <c r="M21" s="13">
        <v>0</v>
      </c>
      <c r="N21" s="242">
        <f t="shared" si="0"/>
        <v>5350</v>
      </c>
    </row>
    <row r="22" spans="1:14" ht="24" customHeight="1">
      <c r="A22" s="210" t="s">
        <v>599</v>
      </c>
      <c r="B22" s="7" t="s">
        <v>558</v>
      </c>
      <c r="C22" s="211" t="s">
        <v>18</v>
      </c>
      <c r="D22" s="7" t="s">
        <v>559</v>
      </c>
      <c r="E22" s="7" t="s">
        <v>600</v>
      </c>
      <c r="F22" s="9">
        <v>46188</v>
      </c>
      <c r="G22" s="9">
        <v>46218</v>
      </c>
      <c r="H22" s="7" t="s">
        <v>84</v>
      </c>
      <c r="I22" s="212" t="s">
        <v>510</v>
      </c>
      <c r="J22" s="221" t="s">
        <v>105</v>
      </c>
      <c r="K22" s="13">
        <v>6250</v>
      </c>
      <c r="L22" s="13">
        <v>0</v>
      </c>
      <c r="M22" s="13">
        <v>0</v>
      </c>
      <c r="N22" s="242">
        <f t="shared" ref="N22:N23" si="1">K22+L22</f>
        <v>6250</v>
      </c>
    </row>
    <row r="23" spans="1:14" ht="33.75" customHeight="1">
      <c r="A23" s="210" t="s">
        <v>601</v>
      </c>
      <c r="B23" s="7" t="s">
        <v>558</v>
      </c>
      <c r="C23" s="211" t="s">
        <v>18</v>
      </c>
      <c r="D23" s="7" t="s">
        <v>559</v>
      </c>
      <c r="E23" s="7" t="s">
        <v>602</v>
      </c>
      <c r="F23" s="9">
        <v>46189</v>
      </c>
      <c r="G23" s="9">
        <v>46215</v>
      </c>
      <c r="H23" s="7" t="s">
        <v>100</v>
      </c>
      <c r="I23" s="212" t="s">
        <v>66</v>
      </c>
      <c r="J23" s="221" t="s">
        <v>603</v>
      </c>
      <c r="K23" s="13">
        <v>8200</v>
      </c>
      <c r="L23" s="13">
        <v>0</v>
      </c>
      <c r="M23" s="13">
        <v>0</v>
      </c>
      <c r="N23" s="242">
        <f t="shared" si="1"/>
        <v>8200</v>
      </c>
    </row>
    <row r="24" spans="1:14" ht="24">
      <c r="A24" s="210" t="s">
        <v>604</v>
      </c>
      <c r="B24" s="7" t="s">
        <v>558</v>
      </c>
      <c r="C24" s="211" t="s">
        <v>18</v>
      </c>
      <c r="D24" s="7" t="s">
        <v>559</v>
      </c>
      <c r="E24" s="7" t="s">
        <v>605</v>
      </c>
      <c r="F24" s="9">
        <v>46221</v>
      </c>
      <c r="G24" s="9">
        <v>46249</v>
      </c>
      <c r="H24" s="7" t="s">
        <v>100</v>
      </c>
      <c r="I24" s="212" t="s">
        <v>316</v>
      </c>
      <c r="J24" s="221" t="s">
        <v>105</v>
      </c>
      <c r="K24" s="13">
        <v>5500</v>
      </c>
      <c r="L24" s="13">
        <v>0</v>
      </c>
      <c r="M24" s="13">
        <v>0</v>
      </c>
      <c r="N24" s="242">
        <f>K24+L24</f>
        <v>5500</v>
      </c>
    </row>
    <row r="25" spans="1:14" ht="24">
      <c r="A25" s="210" t="s">
        <v>606</v>
      </c>
      <c r="B25" s="7" t="s">
        <v>558</v>
      </c>
      <c r="C25" s="211" t="s">
        <v>18</v>
      </c>
      <c r="D25" s="7" t="s">
        <v>559</v>
      </c>
      <c r="E25" s="7" t="s">
        <v>607</v>
      </c>
      <c r="F25" s="9">
        <v>46224</v>
      </c>
      <c r="G25" s="9">
        <v>46264</v>
      </c>
      <c r="H25" s="7" t="s">
        <v>100</v>
      </c>
      <c r="I25" s="212" t="s">
        <v>66</v>
      </c>
      <c r="J25" s="221" t="s">
        <v>105</v>
      </c>
      <c r="K25" s="13">
        <v>5500</v>
      </c>
      <c r="L25" s="13">
        <v>0</v>
      </c>
      <c r="M25" s="13">
        <v>0</v>
      </c>
      <c r="N25" s="242">
        <f>K25+L25</f>
        <v>5500</v>
      </c>
    </row>
    <row r="26" spans="1:14" ht="24">
      <c r="A26" s="114" t="s">
        <v>608</v>
      </c>
      <c r="B26" s="32" t="s">
        <v>558</v>
      </c>
      <c r="C26" s="106" t="s">
        <v>18</v>
      </c>
      <c r="D26" s="32" t="s">
        <v>559</v>
      </c>
      <c r="E26" s="32" t="s">
        <v>609</v>
      </c>
      <c r="F26" s="34">
        <v>46238</v>
      </c>
      <c r="G26" s="34">
        <v>46276</v>
      </c>
      <c r="H26" s="32" t="s">
        <v>100</v>
      </c>
      <c r="I26" s="77" t="s">
        <v>66</v>
      </c>
      <c r="J26" s="207" t="s">
        <v>105</v>
      </c>
      <c r="K26" s="113">
        <v>5400</v>
      </c>
      <c r="L26" s="113">
        <v>0</v>
      </c>
      <c r="M26" s="113">
        <v>0</v>
      </c>
      <c r="N26" s="142">
        <f>K26+L26</f>
        <v>5400</v>
      </c>
    </row>
    <row r="27" spans="1:14">
      <c r="A27" s="114" t="s">
        <v>610</v>
      </c>
      <c r="B27" s="32" t="s">
        <v>558</v>
      </c>
      <c r="C27" s="106" t="s">
        <v>18</v>
      </c>
      <c r="D27" s="32" t="s">
        <v>559</v>
      </c>
      <c r="E27" s="32" t="s">
        <v>611</v>
      </c>
      <c r="F27" s="34">
        <v>46273</v>
      </c>
      <c r="G27" s="34">
        <v>46295</v>
      </c>
      <c r="H27" s="32" t="s">
        <v>149</v>
      </c>
      <c r="I27" s="77" t="s">
        <v>66</v>
      </c>
      <c r="J27" s="207" t="s">
        <v>86</v>
      </c>
      <c r="K27" s="113">
        <v>7950</v>
      </c>
      <c r="L27" s="113">
        <v>0</v>
      </c>
      <c r="M27" s="113">
        <v>1700</v>
      </c>
      <c r="N27" s="142">
        <f>K27+L27+M27</f>
        <v>9650</v>
      </c>
    </row>
    <row r="30" spans="1:14">
      <c r="L30" s="25"/>
    </row>
  </sheetData>
  <sortState xmlns:xlrd2="http://schemas.microsoft.com/office/spreadsheetml/2017/richdata2" ref="A3:N20">
    <sortCondition ref="G3:G20"/>
  </sortState>
  <conditionalFormatting sqref="A1:A2">
    <cfRule type="duplicateValues" dxfId="3120" priority="1384"/>
  </conditionalFormatting>
  <conditionalFormatting sqref="A1:A1048576">
    <cfRule type="duplicateValues" dxfId="3119" priority="1"/>
    <cfRule type="duplicateValues" dxfId="3118" priority="2"/>
  </conditionalFormatting>
  <conditionalFormatting sqref="A3:A12">
    <cfRule type="duplicateValues" dxfId="3117" priority="1372"/>
    <cfRule type="duplicateValues" dxfId="3116" priority="1373"/>
    <cfRule type="duplicateValues" dxfId="3115" priority="1374"/>
    <cfRule type="duplicateValues" dxfId="3114" priority="1375"/>
    <cfRule type="duplicateValues" dxfId="3113" priority="1376"/>
  </conditionalFormatting>
  <conditionalFormatting sqref="A13:A17">
    <cfRule type="duplicateValues" dxfId="3112" priority="11"/>
    <cfRule type="duplicateValues" dxfId="3111" priority="12"/>
    <cfRule type="duplicateValues" dxfId="3110" priority="13"/>
    <cfRule type="duplicateValues" dxfId="3109" priority="14"/>
    <cfRule type="duplicateValues" dxfId="3108" priority="15"/>
  </conditionalFormatting>
  <conditionalFormatting sqref="A18:A27">
    <cfRule type="duplicateValues" dxfId="3107" priority="3"/>
    <cfRule type="duplicateValues" dxfId="3106" priority="4"/>
    <cfRule type="duplicateValues" dxfId="3105" priority="5"/>
    <cfRule type="duplicateValues" dxfId="3104" priority="6"/>
    <cfRule type="duplicateValues" dxfId="3103" priority="7"/>
  </conditionalFormatting>
  <conditionalFormatting sqref="A28:A1048576 A1:A2">
    <cfRule type="duplicateValues" dxfId="3102" priority="38"/>
    <cfRule type="duplicateValues" dxfId="3101" priority="752"/>
    <cfRule type="duplicateValues" dxfId="3100" priority="753"/>
    <cfRule type="duplicateValues" dxfId="3099" priority="754"/>
  </conditionalFormatting>
  <conditionalFormatting sqref="E3:E12">
    <cfRule type="duplicateValues" dxfId="3098" priority="1378"/>
  </conditionalFormatting>
  <conditionalFormatting sqref="E13:E17">
    <cfRule type="duplicateValues" dxfId="3097" priority="16"/>
  </conditionalFormatting>
  <conditionalFormatting sqref="E18:E27">
    <cfRule type="duplicateValues" dxfId="3096" priority="8"/>
  </conditionalFormatting>
  <conditionalFormatting sqref="E28:E1048576 E1:E2">
    <cfRule type="duplicateValues" dxfId="3095" priority="61"/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884DC-4AF6-4619-879E-435F44948A9D}">
  <sheetPr codeName="Hoja6">
    <tabColor theme="2" tint="-9.9978637043366805E-2"/>
  </sheetPr>
  <dimension ref="A1:O53"/>
  <sheetViews>
    <sheetView workbookViewId="0">
      <selection activeCell="O14" sqref="O14"/>
    </sheetView>
  </sheetViews>
  <sheetFormatPr defaultColWidth="11.42578125" defaultRowHeight="14.45"/>
  <cols>
    <col min="1" max="1" width="12.28515625" bestFit="1" customWidth="1"/>
    <col min="2" max="3" width="13.42578125" customWidth="1"/>
    <col min="4" max="4" width="4.42578125" customWidth="1"/>
    <col min="5" max="5" width="12.42578125" bestFit="1" customWidth="1"/>
    <col min="10" max="10" width="16.7109375" bestFit="1" customWidth="1"/>
    <col min="11" max="11" width="13.7109375" style="25" customWidth="1"/>
    <col min="12" max="12" width="11.42578125" style="82"/>
    <col min="13" max="13" width="14.7109375" customWidth="1"/>
  </cols>
  <sheetData>
    <row r="1" spans="1:15" ht="15.6">
      <c r="A1" s="37"/>
      <c r="B1" s="37"/>
      <c r="C1" s="37"/>
      <c r="D1" s="37"/>
      <c r="E1" s="37"/>
      <c r="F1" s="37"/>
      <c r="G1" s="37"/>
      <c r="H1" s="37"/>
      <c r="I1" s="37"/>
      <c r="J1" s="38"/>
      <c r="K1" s="67"/>
      <c r="L1" s="93">
        <f>SUM(L3:L54)</f>
        <v>0</v>
      </c>
    </row>
    <row r="2" spans="1:15" ht="30" customHeight="1">
      <c r="A2" s="123" t="s">
        <v>45</v>
      </c>
      <c r="B2" s="123" t="s">
        <v>46</v>
      </c>
      <c r="C2" s="123" t="s">
        <v>47</v>
      </c>
      <c r="D2" s="123" t="s">
        <v>48</v>
      </c>
      <c r="E2" s="123" t="s">
        <v>49</v>
      </c>
      <c r="F2" s="123" t="s">
        <v>50</v>
      </c>
      <c r="G2" s="123" t="s">
        <v>51</v>
      </c>
      <c r="H2" s="123" t="s">
        <v>52</v>
      </c>
      <c r="I2" s="124" t="s">
        <v>53</v>
      </c>
      <c r="J2" s="123" t="s">
        <v>54</v>
      </c>
      <c r="K2" s="125" t="s">
        <v>55</v>
      </c>
      <c r="L2" s="125"/>
    </row>
    <row r="3" spans="1:15" ht="19.899999999999999" customHeight="1">
      <c r="A3" s="176"/>
      <c r="B3" s="161"/>
      <c r="C3" s="161"/>
      <c r="D3" s="177"/>
      <c r="E3" s="177"/>
      <c r="F3" s="178"/>
      <c r="G3" s="178"/>
      <c r="H3" s="179"/>
      <c r="I3" s="180"/>
      <c r="J3" s="181"/>
      <c r="K3" s="182"/>
      <c r="L3" s="182"/>
      <c r="N3" s="118" t="s">
        <v>56</v>
      </c>
      <c r="O3" s="117" t="s">
        <v>57</v>
      </c>
    </row>
    <row r="4" spans="1:15" ht="19.899999999999999" customHeight="1">
      <c r="A4" s="160"/>
      <c r="B4" s="161"/>
      <c r="C4" s="161"/>
      <c r="D4" s="177"/>
      <c r="E4" s="162"/>
      <c r="F4" s="178"/>
      <c r="G4" s="178"/>
      <c r="H4" s="162"/>
      <c r="I4" s="180"/>
      <c r="J4" s="181"/>
      <c r="K4" s="182"/>
      <c r="L4" s="182"/>
      <c r="N4" s="74"/>
      <c r="O4" s="76"/>
    </row>
    <row r="5" spans="1:15" ht="19.899999999999999" customHeight="1">
      <c r="A5" s="160"/>
      <c r="B5" s="161"/>
      <c r="C5" s="161"/>
      <c r="D5" s="177"/>
      <c r="E5" s="162"/>
      <c r="F5" s="178"/>
      <c r="G5" s="178"/>
      <c r="H5" s="162"/>
      <c r="I5" s="183"/>
      <c r="J5" s="181"/>
      <c r="K5" s="182"/>
      <c r="L5" s="182"/>
    </row>
    <row r="6" spans="1:15" ht="19.899999999999999" customHeight="1">
      <c r="A6" s="184"/>
      <c r="B6" s="161"/>
      <c r="C6" s="161"/>
      <c r="D6" s="177"/>
      <c r="E6" s="162"/>
      <c r="F6" s="178"/>
      <c r="G6" s="178"/>
      <c r="H6" s="162"/>
      <c r="I6" s="185"/>
      <c r="J6" s="181"/>
      <c r="K6" s="182"/>
      <c r="L6" s="182"/>
    </row>
    <row r="7" spans="1:15" ht="19.899999999999999" customHeight="1">
      <c r="A7" s="160"/>
      <c r="B7" s="161"/>
      <c r="C7" s="161"/>
      <c r="D7" s="177"/>
      <c r="E7" s="162"/>
      <c r="F7" s="178"/>
      <c r="G7" s="178"/>
      <c r="H7" s="162"/>
      <c r="I7" s="183"/>
      <c r="J7" s="181"/>
      <c r="K7" s="182"/>
      <c r="L7" s="182"/>
    </row>
    <row r="8" spans="1:15" ht="19.899999999999999" customHeight="1">
      <c r="A8" s="160"/>
      <c r="B8" s="161"/>
      <c r="C8" s="161"/>
      <c r="D8" s="177"/>
      <c r="E8" s="177"/>
      <c r="F8" s="178"/>
      <c r="G8" s="178"/>
      <c r="H8" s="186"/>
      <c r="I8" s="187"/>
      <c r="J8" s="181"/>
      <c r="K8" s="182"/>
      <c r="L8" s="182"/>
    </row>
    <row r="9" spans="1:15" ht="19.899999999999999" customHeight="1">
      <c r="A9" s="184"/>
      <c r="B9" s="161"/>
      <c r="C9" s="161"/>
      <c r="D9" s="177"/>
      <c r="E9" s="177"/>
      <c r="F9" s="178"/>
      <c r="G9" s="178"/>
      <c r="H9" s="177"/>
      <c r="I9" s="188"/>
      <c r="J9" s="181"/>
      <c r="K9" s="182"/>
      <c r="L9" s="182"/>
    </row>
    <row r="10" spans="1:15" ht="19.899999999999999" customHeight="1">
      <c r="A10" s="184"/>
      <c r="B10" s="161"/>
      <c r="C10" s="161"/>
      <c r="D10" s="177"/>
      <c r="E10" s="177"/>
      <c r="F10" s="178"/>
      <c r="G10" s="178"/>
      <c r="H10" s="177"/>
      <c r="I10" s="188"/>
      <c r="J10" s="181"/>
      <c r="K10" s="182"/>
      <c r="L10" s="182"/>
    </row>
    <row r="11" spans="1:15" ht="19.899999999999999" customHeight="1">
      <c r="A11" s="184"/>
      <c r="B11" s="161"/>
      <c r="C11" s="161"/>
      <c r="D11" s="177"/>
      <c r="E11" s="177"/>
      <c r="F11" s="178"/>
      <c r="G11" s="178"/>
      <c r="H11" s="177"/>
      <c r="I11" s="188"/>
      <c r="J11" s="181"/>
      <c r="K11" s="182"/>
      <c r="L11" s="182"/>
    </row>
    <row r="12" spans="1:15" ht="19.899999999999999" customHeight="1">
      <c r="A12" s="184"/>
      <c r="B12" s="161"/>
      <c r="C12" s="161"/>
      <c r="D12" s="177"/>
      <c r="E12" s="177"/>
      <c r="F12" s="178"/>
      <c r="G12" s="178"/>
      <c r="H12" s="177"/>
      <c r="I12" s="188"/>
      <c r="J12" s="181"/>
      <c r="K12" s="182"/>
      <c r="L12" s="182"/>
    </row>
    <row r="13" spans="1:15" ht="19.899999999999999" customHeight="1">
      <c r="A13" s="184"/>
      <c r="B13" s="161"/>
      <c r="C13" s="161"/>
      <c r="D13" s="177"/>
      <c r="E13" s="177"/>
      <c r="F13" s="178"/>
      <c r="G13" s="178"/>
      <c r="H13" s="177"/>
      <c r="I13" s="188"/>
      <c r="J13" s="181"/>
      <c r="K13" s="182"/>
      <c r="L13" s="182"/>
    </row>
    <row r="14" spans="1:15" ht="19.899999999999999" customHeight="1">
      <c r="A14" s="184"/>
      <c r="B14" s="161"/>
      <c r="C14" s="161"/>
      <c r="D14" s="177"/>
      <c r="E14" s="177"/>
      <c r="F14" s="178"/>
      <c r="G14" s="178"/>
      <c r="H14" s="177"/>
      <c r="I14" s="188"/>
      <c r="J14" s="181"/>
      <c r="K14" s="182"/>
      <c r="L14" s="182"/>
    </row>
    <row r="15" spans="1:15" ht="19.899999999999999" customHeight="1">
      <c r="A15" s="184"/>
      <c r="B15" s="161"/>
      <c r="C15" s="161"/>
      <c r="D15" s="177"/>
      <c r="E15" s="177"/>
      <c r="F15" s="178"/>
      <c r="G15" s="178"/>
      <c r="H15" s="177"/>
      <c r="I15" s="188"/>
      <c r="J15" s="181"/>
      <c r="K15" s="182"/>
      <c r="L15" s="182"/>
    </row>
    <row r="16" spans="1:15" ht="19.899999999999999" customHeight="1">
      <c r="A16" s="184"/>
      <c r="B16" s="161"/>
      <c r="C16" s="161"/>
      <c r="D16" s="177"/>
      <c r="E16" s="177"/>
      <c r="F16" s="178"/>
      <c r="G16" s="178"/>
      <c r="H16" s="177"/>
      <c r="I16" s="188"/>
      <c r="J16" s="181"/>
      <c r="K16" s="182"/>
      <c r="L16" s="182"/>
    </row>
    <row r="17" spans="1:12" ht="19.899999999999999" customHeight="1">
      <c r="A17" s="184"/>
      <c r="B17" s="33"/>
      <c r="C17" s="33"/>
      <c r="D17" s="32"/>
      <c r="E17" s="32"/>
      <c r="F17" s="105"/>
      <c r="G17" s="105"/>
      <c r="H17" s="33"/>
      <c r="I17" s="35"/>
      <c r="J17" s="68"/>
      <c r="K17" s="142"/>
      <c r="L17" s="182"/>
    </row>
    <row r="18" spans="1:12" ht="19.899999999999999" customHeight="1">
      <c r="A18" s="184"/>
      <c r="B18" s="161"/>
      <c r="C18" s="161"/>
      <c r="D18" s="177"/>
      <c r="E18" s="177"/>
      <c r="F18" s="172"/>
      <c r="G18" s="172"/>
      <c r="H18" s="189"/>
      <c r="I18" s="188"/>
      <c r="J18" s="181"/>
      <c r="K18" s="182"/>
      <c r="L18" s="182"/>
    </row>
    <row r="19" spans="1:12" ht="19.899999999999999" customHeight="1">
      <c r="A19" s="184"/>
      <c r="B19" s="33"/>
      <c r="C19" s="33"/>
      <c r="D19" s="32"/>
      <c r="E19" s="32"/>
      <c r="F19" s="34"/>
      <c r="G19" s="34"/>
      <c r="H19" s="35"/>
      <c r="I19" s="35"/>
      <c r="J19" s="68"/>
      <c r="K19" s="142"/>
      <c r="L19" s="182"/>
    </row>
    <row r="20" spans="1:12" ht="19.899999999999999" customHeight="1">
      <c r="A20" s="184"/>
      <c r="B20" s="33"/>
      <c r="C20" s="33"/>
      <c r="D20" s="32"/>
      <c r="E20" s="32"/>
      <c r="F20" s="34"/>
      <c r="G20" s="34"/>
      <c r="H20" s="35"/>
      <c r="I20" s="35"/>
      <c r="J20" s="68"/>
      <c r="K20" s="142"/>
      <c r="L20" s="182"/>
    </row>
    <row r="21" spans="1:12" ht="19.899999999999999" customHeight="1">
      <c r="A21" s="184"/>
      <c r="B21" s="33"/>
      <c r="C21" s="33"/>
      <c r="D21" s="32"/>
      <c r="E21" s="32"/>
      <c r="F21" s="34"/>
      <c r="G21" s="34"/>
      <c r="H21" s="35"/>
      <c r="I21" s="35"/>
      <c r="J21" s="68"/>
      <c r="K21" s="142"/>
      <c r="L21" s="182"/>
    </row>
    <row r="22" spans="1:12" ht="19.899999999999999" customHeight="1">
      <c r="A22" s="184"/>
      <c r="B22" s="33"/>
      <c r="C22" s="33"/>
      <c r="D22" s="32"/>
      <c r="E22" s="32"/>
      <c r="F22" s="34"/>
      <c r="G22" s="34"/>
      <c r="H22" s="35"/>
      <c r="I22" s="35"/>
      <c r="J22" s="68"/>
      <c r="K22" s="142"/>
      <c r="L22" s="182"/>
    </row>
    <row r="23" spans="1:12" ht="19.899999999999999" customHeight="1">
      <c r="A23" s="184"/>
      <c r="B23" s="33"/>
      <c r="C23" s="33"/>
      <c r="D23" s="32"/>
      <c r="E23" s="32"/>
      <c r="F23" s="34"/>
      <c r="G23" s="34"/>
      <c r="H23" s="35"/>
      <c r="I23" s="35"/>
      <c r="J23" s="68"/>
      <c r="K23" s="142"/>
      <c r="L23" s="182"/>
    </row>
    <row r="24" spans="1:12" ht="19.899999999999999" customHeight="1">
      <c r="A24" s="184"/>
      <c r="B24" s="33"/>
      <c r="C24" s="33"/>
      <c r="D24" s="32"/>
      <c r="E24" s="32"/>
      <c r="F24" s="34"/>
      <c r="G24" s="34"/>
      <c r="H24" s="35"/>
      <c r="I24" s="35"/>
      <c r="J24" s="68"/>
      <c r="K24" s="142"/>
      <c r="L24" s="182"/>
    </row>
    <row r="25" spans="1:12" ht="19.899999999999999" customHeight="1">
      <c r="A25" s="184"/>
      <c r="B25" s="33"/>
      <c r="C25" s="33"/>
      <c r="D25" s="32"/>
      <c r="E25" s="32"/>
      <c r="F25" s="34"/>
      <c r="G25" s="34"/>
      <c r="H25" s="35"/>
      <c r="I25" s="35"/>
      <c r="J25" s="68"/>
      <c r="K25" s="142"/>
      <c r="L25" s="182"/>
    </row>
    <row r="26" spans="1:12" ht="19.899999999999999" customHeight="1">
      <c r="A26" s="184"/>
      <c r="B26" s="33"/>
      <c r="C26" s="33"/>
      <c r="D26" s="32"/>
      <c r="E26" s="32"/>
      <c r="F26" s="34"/>
      <c r="G26" s="34"/>
      <c r="H26" s="35"/>
      <c r="I26" s="35"/>
      <c r="J26" s="68"/>
      <c r="K26" s="142"/>
      <c r="L26" s="182"/>
    </row>
    <row r="27" spans="1:12" ht="19.899999999999999" customHeight="1">
      <c r="A27" s="184"/>
      <c r="B27" s="33"/>
      <c r="C27" s="33"/>
      <c r="D27" s="32"/>
      <c r="E27" s="32"/>
      <c r="F27" s="34"/>
      <c r="G27" s="34"/>
      <c r="H27" s="35"/>
      <c r="I27" s="35"/>
      <c r="J27" s="68"/>
      <c r="K27" s="142"/>
      <c r="L27" s="182"/>
    </row>
    <row r="28" spans="1:12" ht="19.899999999999999" customHeight="1">
      <c r="A28" s="184"/>
      <c r="B28" s="33"/>
      <c r="C28" s="33"/>
      <c r="D28" s="32"/>
      <c r="E28" s="32"/>
      <c r="F28" s="34"/>
      <c r="G28" s="34"/>
      <c r="H28" s="35"/>
      <c r="I28" s="35"/>
      <c r="J28" s="68"/>
      <c r="K28" s="142"/>
      <c r="L28" s="182"/>
    </row>
    <row r="29" spans="1:12" ht="19.899999999999999" customHeight="1">
      <c r="A29" s="184"/>
      <c r="B29" s="33"/>
      <c r="C29" s="33"/>
      <c r="D29" s="32"/>
      <c r="E29" s="32"/>
      <c r="F29" s="34"/>
      <c r="G29" s="34"/>
      <c r="H29" s="35"/>
      <c r="I29" s="35"/>
      <c r="J29" s="68"/>
      <c r="K29" s="142"/>
      <c r="L29" s="182"/>
    </row>
    <row r="30" spans="1:12" ht="19.149999999999999" customHeight="1">
      <c r="A30" s="184"/>
      <c r="B30" s="33"/>
      <c r="C30" s="33"/>
      <c r="D30" s="32"/>
      <c r="E30" s="32"/>
      <c r="F30" s="34"/>
      <c r="G30" s="34"/>
      <c r="H30" s="35"/>
      <c r="I30" s="35"/>
      <c r="J30" s="68"/>
      <c r="K30" s="142"/>
      <c r="L30" s="182"/>
    </row>
    <row r="31" spans="1:12" ht="19.149999999999999" customHeight="1">
      <c r="A31" s="184"/>
      <c r="B31" s="33"/>
      <c r="C31" s="33"/>
      <c r="D31" s="32"/>
      <c r="E31" s="32"/>
      <c r="F31" s="34"/>
      <c r="G31" s="34"/>
      <c r="H31" s="35"/>
      <c r="I31" s="35"/>
      <c r="J31" s="68"/>
      <c r="K31" s="142"/>
      <c r="L31" s="182"/>
    </row>
    <row r="32" spans="1:12" ht="19.149999999999999" customHeight="1">
      <c r="A32" s="184"/>
      <c r="B32" s="33"/>
      <c r="C32" s="33"/>
      <c r="D32" s="32"/>
      <c r="E32" s="32"/>
      <c r="F32" s="34"/>
      <c r="G32" s="34"/>
      <c r="H32" s="35"/>
      <c r="I32" s="35"/>
      <c r="J32" s="68"/>
      <c r="K32" s="142"/>
      <c r="L32" s="182"/>
    </row>
    <row r="33" spans="1:12" ht="19.149999999999999" customHeight="1">
      <c r="A33" s="184"/>
      <c r="B33" s="33"/>
      <c r="C33" s="33"/>
      <c r="D33" s="32"/>
      <c r="E33" s="32"/>
      <c r="F33" s="34"/>
      <c r="G33" s="34"/>
      <c r="H33" s="35"/>
      <c r="I33" s="35"/>
      <c r="J33" s="68"/>
      <c r="K33" s="142"/>
      <c r="L33" s="182"/>
    </row>
    <row r="34" spans="1:12" ht="19.149999999999999" customHeight="1">
      <c r="A34" s="184"/>
      <c r="B34" s="33"/>
      <c r="C34" s="33"/>
      <c r="D34" s="32"/>
      <c r="E34" s="32"/>
      <c r="F34" s="34"/>
      <c r="G34" s="34"/>
      <c r="H34" s="35"/>
      <c r="I34" s="35"/>
      <c r="J34" s="68"/>
      <c r="K34" s="142"/>
      <c r="L34" s="182"/>
    </row>
    <row r="35" spans="1:12" ht="19.149999999999999" customHeight="1">
      <c r="A35" s="184"/>
      <c r="B35" s="33"/>
      <c r="C35" s="33"/>
      <c r="D35" s="32"/>
      <c r="E35" s="32"/>
      <c r="F35" s="34"/>
      <c r="G35" s="34"/>
      <c r="H35" s="35"/>
      <c r="I35" s="35"/>
      <c r="J35" s="68"/>
      <c r="K35" s="142"/>
      <c r="L35" s="182"/>
    </row>
    <row r="36" spans="1:12" ht="19.149999999999999" customHeight="1">
      <c r="A36" s="184"/>
      <c r="B36" s="33"/>
      <c r="C36" s="33"/>
      <c r="D36" s="32"/>
      <c r="E36" s="32"/>
      <c r="F36" s="34"/>
      <c r="G36" s="34"/>
      <c r="H36" s="35"/>
      <c r="I36" s="35"/>
      <c r="J36" s="68"/>
      <c r="K36" s="142"/>
      <c r="L36" s="182"/>
    </row>
    <row r="37" spans="1:12" ht="19.149999999999999" customHeight="1">
      <c r="A37" s="184"/>
      <c r="B37" s="33"/>
      <c r="C37" s="33"/>
      <c r="D37" s="32"/>
      <c r="E37" s="32"/>
      <c r="F37" s="34"/>
      <c r="G37" s="34"/>
      <c r="H37" s="35"/>
      <c r="I37" s="35"/>
      <c r="J37" s="68"/>
      <c r="K37" s="142"/>
      <c r="L37" s="182"/>
    </row>
    <row r="38" spans="1:12" ht="19.149999999999999" customHeight="1">
      <c r="A38" s="184"/>
      <c r="B38" s="33"/>
      <c r="C38" s="33"/>
      <c r="D38" s="32"/>
      <c r="E38" s="32"/>
      <c r="F38" s="34"/>
      <c r="G38" s="34"/>
      <c r="H38" s="35"/>
      <c r="I38" s="35"/>
      <c r="J38" s="68"/>
      <c r="K38" s="142"/>
      <c r="L38" s="182"/>
    </row>
    <row r="39" spans="1:12" ht="19.149999999999999" customHeight="1">
      <c r="A39" s="184"/>
      <c r="B39" s="33"/>
      <c r="C39" s="33"/>
      <c r="D39" s="32"/>
      <c r="E39" s="32"/>
      <c r="F39" s="34"/>
      <c r="G39" s="34"/>
      <c r="H39" s="35"/>
      <c r="I39" s="35"/>
      <c r="J39" s="68"/>
      <c r="K39" s="142"/>
      <c r="L39" s="182"/>
    </row>
    <row r="40" spans="1:12" ht="19.149999999999999" customHeight="1">
      <c r="A40" s="184"/>
      <c r="B40" s="33"/>
      <c r="C40" s="33"/>
      <c r="D40" s="32"/>
      <c r="E40" s="32"/>
      <c r="F40" s="34"/>
      <c r="G40" s="34"/>
      <c r="H40" s="35"/>
      <c r="I40" s="35"/>
      <c r="J40" s="68"/>
      <c r="K40" s="142"/>
      <c r="L40" s="182"/>
    </row>
    <row r="41" spans="1:12" ht="19.149999999999999" customHeight="1">
      <c r="A41" s="184"/>
      <c r="B41" s="33"/>
      <c r="C41" s="33"/>
      <c r="D41" s="32"/>
      <c r="E41" s="32"/>
      <c r="F41" s="34"/>
      <c r="G41" s="34"/>
      <c r="H41" s="35"/>
      <c r="I41" s="35"/>
      <c r="J41" s="68"/>
      <c r="K41" s="142"/>
      <c r="L41" s="182"/>
    </row>
    <row r="42" spans="1:12" ht="19.149999999999999" customHeight="1">
      <c r="A42" s="184"/>
      <c r="B42" s="33"/>
      <c r="C42" s="33"/>
      <c r="D42" s="32"/>
      <c r="E42" s="32"/>
      <c r="F42" s="34"/>
      <c r="G42" s="34"/>
      <c r="H42" s="35"/>
      <c r="I42" s="35"/>
      <c r="J42" s="68"/>
      <c r="K42" s="142"/>
      <c r="L42" s="182"/>
    </row>
    <row r="43" spans="1:12" ht="19.149999999999999" customHeight="1">
      <c r="A43" s="184"/>
      <c r="B43" s="33"/>
      <c r="C43" s="33"/>
      <c r="D43" s="32"/>
      <c r="E43" s="32"/>
      <c r="F43" s="34"/>
      <c r="G43" s="34"/>
      <c r="H43" s="35"/>
      <c r="I43" s="35"/>
      <c r="J43" s="68"/>
      <c r="K43" s="142"/>
      <c r="L43" s="182"/>
    </row>
    <row r="44" spans="1:12" ht="19.149999999999999" customHeight="1">
      <c r="A44" s="184"/>
      <c r="B44" s="33"/>
      <c r="C44" s="33"/>
      <c r="D44" s="32"/>
      <c r="E44" s="32"/>
      <c r="F44" s="34"/>
      <c r="G44" s="34"/>
      <c r="H44" s="35"/>
      <c r="I44" s="35"/>
      <c r="J44" s="68"/>
      <c r="K44" s="142"/>
      <c r="L44" s="182"/>
    </row>
    <row r="45" spans="1:12" ht="19.149999999999999" customHeight="1">
      <c r="A45" s="184"/>
      <c r="B45" s="33"/>
      <c r="C45" s="33"/>
      <c r="D45" s="32"/>
      <c r="E45" s="32"/>
      <c r="F45" s="34"/>
      <c r="G45" s="34"/>
      <c r="H45" s="35"/>
      <c r="I45" s="35"/>
      <c r="J45" s="68"/>
      <c r="K45" s="142"/>
      <c r="L45" s="182"/>
    </row>
    <row r="46" spans="1:12" ht="19.149999999999999" customHeight="1">
      <c r="A46" s="184"/>
      <c r="B46" s="33"/>
      <c r="C46" s="33"/>
      <c r="D46" s="32"/>
      <c r="E46" s="32"/>
      <c r="F46" s="34"/>
      <c r="G46" s="34"/>
      <c r="H46" s="35"/>
      <c r="I46" s="35"/>
      <c r="J46" s="68"/>
      <c r="K46" s="142"/>
      <c r="L46" s="182"/>
    </row>
    <row r="47" spans="1:12">
      <c r="A47" s="184"/>
      <c r="B47" s="33"/>
      <c r="C47" s="33"/>
      <c r="D47" s="32"/>
      <c r="E47" s="32"/>
      <c r="F47" s="34"/>
      <c r="G47" s="34"/>
      <c r="H47" s="35"/>
      <c r="I47" s="35"/>
      <c r="J47" s="68"/>
      <c r="K47" s="142"/>
      <c r="L47" s="182"/>
    </row>
    <row r="48" spans="1:12">
      <c r="A48" s="184"/>
      <c r="B48" s="33"/>
      <c r="C48" s="33"/>
      <c r="D48" s="32"/>
      <c r="E48" s="32"/>
      <c r="F48" s="34"/>
      <c r="G48" s="34"/>
      <c r="H48" s="35"/>
      <c r="I48" s="35"/>
      <c r="J48" s="68"/>
      <c r="K48" s="142"/>
      <c r="L48" s="182"/>
    </row>
    <row r="49" spans="1:12">
      <c r="A49" s="184"/>
      <c r="B49" s="33"/>
      <c r="C49" s="33"/>
      <c r="D49" s="32"/>
      <c r="E49" s="32"/>
      <c r="F49" s="34"/>
      <c r="G49" s="34"/>
      <c r="H49" s="35"/>
      <c r="I49" s="35"/>
      <c r="J49" s="68"/>
      <c r="K49" s="142"/>
      <c r="L49" s="182"/>
    </row>
    <row r="50" spans="1:12">
      <c r="A50" s="184"/>
      <c r="B50" s="33"/>
      <c r="C50" s="33"/>
      <c r="D50" s="32"/>
      <c r="E50" s="32"/>
      <c r="F50" s="34"/>
      <c r="G50" s="34"/>
      <c r="H50" s="35"/>
      <c r="I50" s="35"/>
      <c r="J50" s="68"/>
      <c r="K50" s="142"/>
      <c r="L50" s="182"/>
    </row>
    <row r="51" spans="1:12" ht="14.65" customHeight="1">
      <c r="A51" s="184"/>
      <c r="B51" s="33"/>
      <c r="C51" s="33"/>
      <c r="D51" s="32"/>
      <c r="E51" s="32"/>
      <c r="F51" s="34"/>
      <c r="G51" s="34"/>
      <c r="H51" s="35"/>
      <c r="I51" s="35"/>
      <c r="J51" s="68"/>
      <c r="K51" s="142"/>
      <c r="L51" s="182"/>
    </row>
    <row r="52" spans="1:12" ht="15" customHeight="1">
      <c r="A52" s="184"/>
      <c r="B52" s="33"/>
      <c r="C52" s="33"/>
      <c r="D52" s="32"/>
      <c r="E52" s="32"/>
      <c r="F52" s="34"/>
      <c r="G52" s="34"/>
      <c r="H52" s="35"/>
      <c r="I52" s="35"/>
      <c r="J52" s="68"/>
      <c r="K52" s="142"/>
      <c r="L52" s="182"/>
    </row>
    <row r="53" spans="1:12">
      <c r="A53" s="184"/>
      <c r="B53" s="33"/>
      <c r="C53" s="33"/>
      <c r="D53" s="32"/>
      <c r="E53" s="32"/>
      <c r="F53" s="34"/>
      <c r="G53" s="34"/>
      <c r="H53" s="35"/>
      <c r="I53" s="35"/>
      <c r="J53" s="68"/>
      <c r="K53" s="142"/>
      <c r="L53" s="182"/>
    </row>
  </sheetData>
  <conditionalFormatting sqref="A1:A1048576 E1:E1048576">
    <cfRule type="duplicateValues" dxfId="3094" priority="1"/>
  </conditionalFormatting>
  <conditionalFormatting sqref="A47 E47">
    <cfRule type="duplicateValues" dxfId="3093" priority="23"/>
  </conditionalFormatting>
  <conditionalFormatting sqref="A47">
    <cfRule type="duplicateValues" dxfId="3092" priority="18"/>
    <cfRule type="duplicateValues" dxfId="3091" priority="20"/>
    <cfRule type="duplicateValues" dxfId="3090" priority="22"/>
    <cfRule type="duplicateValues" dxfId="3089" priority="24"/>
  </conditionalFormatting>
  <conditionalFormatting sqref="A48:A52 E48:E52">
    <cfRule type="duplicateValues" dxfId="3088" priority="31"/>
  </conditionalFormatting>
  <conditionalFormatting sqref="A48:A52">
    <cfRule type="duplicateValues" dxfId="3087" priority="26"/>
    <cfRule type="duplicateValues" dxfId="3086" priority="28"/>
    <cfRule type="duplicateValues" dxfId="3085" priority="30"/>
    <cfRule type="duplicateValues" dxfId="3084" priority="32"/>
  </conditionalFormatting>
  <conditionalFormatting sqref="A53 E53">
    <cfRule type="duplicateValues" dxfId="3083" priority="15"/>
  </conditionalFormatting>
  <conditionalFormatting sqref="A53">
    <cfRule type="duplicateValues" dxfId="3082" priority="10"/>
    <cfRule type="duplicateValues" dxfId="3081" priority="12"/>
    <cfRule type="duplicateValues" dxfId="3080" priority="14"/>
    <cfRule type="duplicateValues" dxfId="3079" priority="16"/>
  </conditionalFormatting>
  <conditionalFormatting sqref="A54:A1048576 A1:A46">
    <cfRule type="duplicateValues" dxfId="3078" priority="34"/>
    <cfRule type="duplicateValues" dxfId="3077" priority="36"/>
    <cfRule type="duplicateValues" dxfId="3076" priority="57"/>
    <cfRule type="duplicateValues" dxfId="3075" priority="366"/>
  </conditionalFormatting>
  <conditionalFormatting sqref="E47">
    <cfRule type="duplicateValues" dxfId="3074" priority="19"/>
    <cfRule type="duplicateValues" dxfId="3073" priority="21"/>
    <cfRule type="duplicateValues" dxfId="3072" priority="25"/>
  </conditionalFormatting>
  <conditionalFormatting sqref="E48:E52">
    <cfRule type="duplicateValues" dxfId="3071" priority="27"/>
    <cfRule type="duplicateValues" dxfId="3070" priority="29"/>
    <cfRule type="duplicateValues" dxfId="3069" priority="33"/>
  </conditionalFormatting>
  <conditionalFormatting sqref="E53">
    <cfRule type="duplicateValues" dxfId="3068" priority="11"/>
    <cfRule type="duplicateValues" dxfId="3067" priority="13"/>
    <cfRule type="duplicateValues" dxfId="3066" priority="17"/>
  </conditionalFormatting>
  <conditionalFormatting sqref="E54:E1048576 E1:E46">
    <cfRule type="duplicateValues" dxfId="3065" priority="35"/>
    <cfRule type="duplicateValues" dxfId="3064" priority="56"/>
    <cfRule type="duplicateValues" dxfId="3063" priority="369"/>
  </conditionalFormatting>
  <conditionalFormatting sqref="BU18:BU46 CG18:CG46 CS18:CS46 DE18:DE46 DQ18:DQ46 EC18:EC46 EO18:EO46 FA18:FA46 FM18:FM46 FY18:FY46 GK18:GK46 GW18:GW46 HI18:HI46 HU18:HU46 IG18:IG46 IS18:IS46 JE18:JE46 JQ18:JQ46 KC18:KC46 KO18:KO46 LA18:LA46 LM18:LM46 LY18:LY46 MK18:MK46 MW18:MW46 NI18:NI46 NU18:NU46 OG18:OG46 OS18:OS46 PE18:PE46 PQ18:PQ46 QC18:QC46 QO18:QO46 RA18:RA46 RM18:RM46 RY18:RY46 SK18:SK46 SW18:SW46 TI18:TI46 TU18:TU46 UG18:UG46 US18:US46 VE18:VE46 VQ18:VQ46 WC18:WC46 WO18:WO46 XA18:XA46 XM18:XM46 XY18:XY46 YK18:YK46 YW18:YW46 ZI18:ZI46 ZU18:ZU46 AAG18:AAG46 AAS18:AAS46 ABE18:ABE46 ABQ18:ABQ46 ACC18:ACC46 ACO18:ACO46 ADA18:ADA46 ADM18:ADM46 ADY18:ADY46 AEK18:AEK46 AEW18:AEW46 AFI18:AFI46 AFU18:AFU46 AGG18:AGG46 AGS18:AGS46 AHE18:AHE46 AHQ18:AHQ46 AIC18:AIC46 AIO18:AIO46 AJA18:AJA46 AJM18:AJM46 AJY18:AJY46 AKK18:AKK46 AKW18:AKW46 ALI18:ALI46 ALU18:ALU46 AMG18:AMG46 AMS18:AMS46 ANE18:ANE46 ANQ18:ANQ46 AOC18:AOC46 AOO18:AOO46 APA18:APA46 APM18:APM46 APY18:APY46 AQK18:AQK46 AQW18:AQW46 ARI18:ARI46 ARU18:ARU46 ASG18:ASG46 ASS18:ASS46 ATE18:ATE46 ATQ18:ATQ46 AUC18:AUC46 AUO18:AUO46 AVA18:AVA46 AVM18:AVM46 AVY18:AVY46 AWK18:AWK46 AWW18:AWW46 AXI18:AXI46 AXU18:AXU46 AYG18:AYG46 AYS18:AYS46 AZE18:AZE46 AZQ18:AZQ46 BAC18:BAC46 BAO18:BAO46 BBA18:BBA46 BBM18:BBM46 BBY18:BBY46 BCK18:BCK46 BCW18:BCW46 BDI18:BDI46 BDU18:BDU46 BEG18:BEG46 BES18:BES46 BFE18:BFE46 BFQ18:BFQ46 BGC18:BGC46 BGO18:BGO46 BHA18:BHA46 BHM18:BHM46 BHY18:BHY46 BIK18:BIK46 BIW18:BIW46 BJI18:BJI46 BJU18:BJU46 BKG18:BKG46 BKS18:BKS46 BLE18:BLE46 BLQ18:BLQ46 BMC18:BMC46 BMO18:BMO46 BNA18:BNA46 BNM18:BNM46 BNY18:BNY46 BOK18:BOK46 BOW18:BOW46 BPI18:BPI46 BPU18:BPU46 BQG18:BQG46 BQS18:BQS46 BRE18:BRE46 BRQ18:BRQ46 BSC18:BSC46 BSO18:BSO46 BTA18:BTA46 BTM18:BTM46 BTY18:BTY46 BUK18:BUK46 BUW18:BUW46 BVI18:BVI46 BVU18:BVU46 BWG18:BWG46 BWS18:BWS46 BXE18:BXE46 BXQ18:BXQ46 BYC18:BYC46 BYO18:BYO46 BZA18:BZA46 BZM18:BZM46 BZY18:BZY46 CAK18:CAK46 CAW18:CAW46 CBI18:CBI46 CBU18:CBU46 CCG18:CCG46 CCS18:CCS46 CDE18:CDE46 CDQ18:CDQ46 CEC18:CEC46 CEO18:CEO46 CFA18:CFA46 CFM18:CFM46 CFY18:CFY46 CGK18:CGK46 CGW18:CGW46 CHI18:CHI46 CHU18:CHU46 CIG18:CIG46 CIS18:CIS46 CJE18:CJE46 CJQ18:CJQ46 CKC18:CKC46 CKO18:CKO46 CLA18:CLA46 CLM18:CLM46 CLY18:CLY46 CMK18:CMK46 CMW18:CMW46 CNI18:CNI46 CNU18:CNU46 COG18:COG46 COS18:COS46 CPE18:CPE46 CPQ18:CPQ46 CQC18:CQC46 CQO18:CQO46 CRA18:CRA46 CRM18:CRM46 CRY18:CRY46 CSK18:CSK46 CSW18:CSW46 CTI18:CTI46 CTU18:CTU46 CUG18:CUG46 CUS18:CUS46 CVE18:CVE46 CVQ18:CVQ46 CWC18:CWC46 CWO18:CWO46 CXA18:CXA46 CXM18:CXM46 CXY18:CXY46 CYK18:CYK46 CYW18:CYW46 CZI18:CZI46 CZU18:CZU46 DAG18:DAG46 DAS18:DAS46 DBE18:DBE46 DBQ18:DBQ46 DCC18:DCC46 DCO18:DCO46 DDA18:DDA46 DDM18:DDM46 DDY18:DDY46 DEK18:DEK46 DEW18:DEW46 DFI18:DFI46 DFU18:DFU46 DGG18:DGG46 DGS18:DGS46 DHE18:DHE46 DHQ18:DHQ46 DIC18:DIC46 DIO18:DIO46 DJA18:DJA46 DJM18:DJM46 DJY18:DJY46 DKK18:DKK46 DKW18:DKW46 DLI18:DLI46 DLU18:DLU46 DMG18:DMG46 DMS18:DMS46 DNE18:DNE46 DNQ18:DNQ46 DOC18:DOC46 DOO18:DOO46 DPA18:DPA46 DPM18:DPM46 DPY18:DPY46 DQK18:DQK46 DQW18:DQW46 DRI18:DRI46 DRU18:DRU46 DSG18:DSG46 DSS18:DSS46 DTE18:DTE46 DTQ18:DTQ46 DUC18:DUC46 DUO18:DUO46 DVA18:DVA46 DVM18:DVM46 DVY18:DVY46 DWK18:DWK46 DWW18:DWW46 DXI18:DXI46 DXU18:DXU46 DYG18:DYG46 DYS18:DYS46 DZE18:DZE46 DZQ18:DZQ46 EAC18:EAC46 EAO18:EAO46 EBA18:EBA46 EBM18:EBM46 EBY18:EBY46 ECK18:ECK46 ECW18:ECW46 EDI18:EDI46 EDU18:EDU46 EEG18:EEG46 EES18:EES46 EFE18:EFE46 EFQ18:EFQ46 EGC18:EGC46 EGO18:EGO46 EHA18:EHA46 EHM18:EHM46 EHY18:EHY46 EIK18:EIK46 EIW18:EIW46 EJI18:EJI46 EJU18:EJU46 EKG18:EKG46 EKS18:EKS46 ELE18:ELE46 ELQ18:ELQ46 EMC18:EMC46 EMO18:EMO46 ENA18:ENA46 ENM18:ENM46 ENY18:ENY46 EOK18:EOK46 EOW18:EOW46 EPI18:EPI46 EPU18:EPU46 EQG18:EQG46 EQS18:EQS46 ERE18:ERE46 ERQ18:ERQ46 ESC18:ESC46 ESO18:ESO46 ETA18:ETA46 ETM18:ETM46 ETY18:ETY46 EUK18:EUK46 EUW18:EUW46 EVI18:EVI46 EVU18:EVU46 EWG18:EWG46 EWS18:EWS46 EXE18:EXE46 EXQ18:EXQ46 EYC18:EYC46 EYO18:EYO46 EZA18:EZA46 EZM18:EZM46 EZY18:EZY46 FAK18:FAK46 FAW18:FAW46 FBI18:FBI46 FBU18:FBU46 FCG18:FCG46 FCS18:FCS46 FDE18:FDE46 FDQ18:FDQ46 FEC18:FEC46 FEO18:FEO46 FFA18:FFA46 FFM18:FFM46 FFY18:FFY46 FGK18:FGK46 FGW18:FGW46 FHI18:FHI46 FHU18:FHU46 FIG18:FIG46 FIS18:FIS46 FJE18:FJE46 FJQ18:FJQ46 FKC18:FKC46 FKO18:FKO46 FLA18:FLA46 FLM18:FLM46 FLY18:FLY46 FMK18:FMK46 FMW18:FMW46 FNI18:FNI46 FNU18:FNU46 FOG18:FOG46 FOS18:FOS46 FPE18:FPE46 FPQ18:FPQ46 FQC18:FQC46 FQO18:FQO46 FRA18:FRA46 FRM18:FRM46 FRY18:FRY46 FSK18:FSK46 FSW18:FSW46 FTI18:FTI46 FTU18:FTU46 FUG18:FUG46 FUS18:FUS46 FVE18:FVE46 FVQ18:FVQ46 FWC18:FWC46 FWO18:FWO46 FXA18:FXA46 FXM18:FXM46 FXY18:FXY46 FYK18:FYK46 FYW18:FYW46 FZI18:FZI46 FZU18:FZU46 GAG18:GAG46 GAS18:GAS46 GBE18:GBE46 GBQ18:GBQ46 GCC18:GCC46 GCO18:GCO46 GDA18:GDA46 GDM18:GDM46 GDY18:GDY46 GEK18:GEK46 GEW18:GEW46 GFI18:GFI46 GFU18:GFU46 GGG18:GGG46 GGS18:GGS46 GHE18:GHE46 GHQ18:GHQ46 GIC18:GIC46 GIO18:GIO46 GJA18:GJA46 GJM18:GJM46 GJY18:GJY46 GKK18:GKK46 GKW18:GKW46 GLI18:GLI46 GLU18:GLU46 GMG18:GMG46 GMS18:GMS46 GNE18:GNE46 GNQ18:GNQ46 GOC18:GOC46 GOO18:GOO46 GPA18:GPA46 GPM18:GPM46 GPY18:GPY46 GQK18:GQK46 GQW18:GQW46 GRI18:GRI46 GRU18:GRU46 GSG18:GSG46 GSS18:GSS46 GTE18:GTE46 GTQ18:GTQ46 GUC18:GUC46 GUO18:GUO46 GVA18:GVA46 GVM18:GVM46 GVY18:GVY46 GWK18:GWK46 GWW18:GWW46 GXI18:GXI46 GXU18:GXU46 GYG18:GYG46 GYS18:GYS46 GZE18:GZE46 GZQ18:GZQ46 HAC18:HAC46 HAO18:HAO46 HBA18:HBA46 HBM18:HBM46 HBY18:HBY46 HCK18:HCK46 HCW18:HCW46 HDI18:HDI46 HDU18:HDU46 HEG18:HEG46 HES18:HES46 HFE18:HFE46 HFQ18:HFQ46 HGC18:HGC46 HGO18:HGO46 HHA18:HHA46 HHM18:HHM46 HHY18:HHY46 HIK18:HIK46 HIW18:HIW46 HJI18:HJI46 HJU18:HJU46 HKG18:HKG46 HKS18:HKS46 HLE18:HLE46 HLQ18:HLQ46 HMC18:HMC46 HMO18:HMO46 HNA18:HNA46 HNM18:HNM46 HNY18:HNY46 HOK18:HOK46 HOW18:HOW46 HPI18:HPI46 HPU18:HPU46 HQG18:HQG46 HQS18:HQS46 HRE18:HRE46 HRQ18:HRQ46 HSC18:HSC46 HSO18:HSO46 HTA18:HTA46 HTM18:HTM46 HTY18:HTY46 HUK18:HUK46 HUW18:HUW46 HVI18:HVI46 HVU18:HVU46 HWG18:HWG46 HWS18:HWS46 HXE18:HXE46 HXQ18:HXQ46 HYC18:HYC46 HYO18:HYO46 HZA18:HZA46 HZM18:HZM46 HZY18:HZY46 IAK18:IAK46 IAW18:IAW46 IBI18:IBI46 IBU18:IBU46 ICG18:ICG46 ICS18:ICS46 IDE18:IDE46 IDQ18:IDQ46 IEC18:IEC46 IEO18:IEO46 IFA18:IFA46 IFM18:IFM46 IFY18:IFY46 IGK18:IGK46 IGW18:IGW46 IHI18:IHI46 IHU18:IHU46 IIG18:IIG46 IIS18:IIS46 IJE18:IJE46 IJQ18:IJQ46 IKC18:IKC46 IKO18:IKO46 ILA18:ILA46 ILM18:ILM46 ILY18:ILY46 IMK18:IMK46 IMW18:IMW46 INI18:INI46 INU18:INU46 IOG18:IOG46 IOS18:IOS46 IPE18:IPE46 IPQ18:IPQ46 IQC18:IQC46 IQO18:IQO46 IRA18:IRA46 IRM18:IRM46 IRY18:IRY46 ISK18:ISK46 ISW18:ISW46 ITI18:ITI46 ITU18:ITU46 IUG18:IUG46 IUS18:IUS46 IVE18:IVE46 IVQ18:IVQ46 IWC18:IWC46 IWO18:IWO46 IXA18:IXA46 IXM18:IXM46 IXY18:IXY46 IYK18:IYK46 IYW18:IYW46 IZI18:IZI46 IZU18:IZU46 JAG18:JAG46 JAS18:JAS46 JBE18:JBE46 JBQ18:JBQ46 JCC18:JCC46 JCO18:JCO46 JDA18:JDA46 JDM18:JDM46 JDY18:JDY46 JEK18:JEK46 JEW18:JEW46 JFI18:JFI46 JFU18:JFU46 JGG18:JGG46 JGS18:JGS46 JHE18:JHE46 JHQ18:JHQ46 JIC18:JIC46 JIO18:JIO46 JJA18:JJA46 JJM18:JJM46 JJY18:JJY46 JKK18:JKK46 JKW18:JKW46 JLI18:JLI46 JLU18:JLU46 JMG18:JMG46 JMS18:JMS46 JNE18:JNE46 JNQ18:JNQ46 JOC18:JOC46 JOO18:JOO46 JPA18:JPA46 JPM18:JPM46 JPY18:JPY46 JQK18:JQK46 JQW18:JQW46 JRI18:JRI46 JRU18:JRU46 JSG18:JSG46 JSS18:JSS46 JTE18:JTE46 JTQ18:JTQ46 JUC18:JUC46 JUO18:JUO46 JVA18:JVA46 JVM18:JVM46 JVY18:JVY46 JWK18:JWK46 JWW18:JWW46 JXI18:JXI46 JXU18:JXU46 JYG18:JYG46 JYS18:JYS46 JZE18:JZE46 JZQ18:JZQ46 KAC18:KAC46 KAO18:KAO46 KBA18:KBA46 KBM18:KBM46 KBY18:KBY46 KCK18:KCK46 KCW18:KCW46 KDI18:KDI46 KDU18:KDU46 KEG18:KEG46 KES18:KES46 KFE18:KFE46 KFQ18:KFQ46 KGC18:KGC46 KGO18:KGO46 KHA18:KHA46 KHM18:KHM46 KHY18:KHY46 KIK18:KIK46 KIW18:KIW46 KJI18:KJI46 KJU18:KJU46 KKG18:KKG46 KKS18:KKS46 KLE18:KLE46 KLQ18:KLQ46 KMC18:KMC46 KMO18:KMO46 KNA18:KNA46 KNM18:KNM46 KNY18:KNY46 KOK18:KOK46 KOW18:KOW46 KPI18:KPI46 KPU18:KPU46 KQG18:KQG46 KQS18:KQS46 KRE18:KRE46 KRQ18:KRQ46 KSC18:KSC46 KSO18:KSO46 KTA18:KTA46 KTM18:KTM46 KTY18:KTY46 KUK18:KUK46 KUW18:KUW46 KVI18:KVI46 KVU18:KVU46 KWG18:KWG46 KWS18:KWS46 KXE18:KXE46 KXQ18:KXQ46 KYC18:KYC46 KYO18:KYO46 KZA18:KZA46 KZM18:KZM46 KZY18:KZY46 LAK18:LAK46 LAW18:LAW46 LBI18:LBI46 LBU18:LBU46 LCG18:LCG46 LCS18:LCS46 LDE18:LDE46 LDQ18:LDQ46 LEC18:LEC46 LEO18:LEO46 LFA18:LFA46 LFM18:LFM46 LFY18:LFY46 LGK18:LGK46 LGW18:LGW46 LHI18:LHI46 LHU18:LHU46 LIG18:LIG46 LIS18:LIS46 LJE18:LJE46 LJQ18:LJQ46 LKC18:LKC46 LKO18:LKO46 LLA18:LLA46 LLM18:LLM46 LLY18:LLY46 LMK18:LMK46 LMW18:LMW46 LNI18:LNI46 LNU18:LNU46 LOG18:LOG46 LOS18:LOS46 LPE18:LPE46 LPQ18:LPQ46 LQC18:LQC46 LQO18:LQO46 LRA18:LRA46 LRM18:LRM46 LRY18:LRY46 LSK18:LSK46 LSW18:LSW46 LTI18:LTI46 LTU18:LTU46 LUG18:LUG46 LUS18:LUS46 LVE18:LVE46 LVQ18:LVQ46 LWC18:LWC46 LWO18:LWO46 LXA18:LXA46 LXM18:LXM46 LXY18:LXY46 LYK18:LYK46 LYW18:LYW46 LZI18:LZI46 LZU18:LZU46 MAG18:MAG46 MAS18:MAS46 MBE18:MBE46 MBQ18:MBQ46 MCC18:MCC46 MCO18:MCO46 MDA18:MDA46 MDM18:MDM46 MDY18:MDY46 MEK18:MEK46 MEW18:MEW46 MFI18:MFI46 MFU18:MFU46 MGG18:MGG46 MGS18:MGS46 MHE18:MHE46 MHQ18:MHQ46 MIC18:MIC46 MIO18:MIO46 MJA18:MJA46 MJM18:MJM46 MJY18:MJY46 MKK18:MKK46 MKW18:MKW46 MLI18:MLI46 MLU18:MLU46 MMG18:MMG46 MMS18:MMS46 MNE18:MNE46 MNQ18:MNQ46 MOC18:MOC46 MOO18:MOO46 MPA18:MPA46 MPM18:MPM46 MPY18:MPY46 MQK18:MQK46 MQW18:MQW46 MRI18:MRI46 MRU18:MRU46 MSG18:MSG46 MSS18:MSS46 MTE18:MTE46 MTQ18:MTQ46 MUC18:MUC46 MUO18:MUO46 MVA18:MVA46 MVM18:MVM46 MVY18:MVY46 MWK18:MWK46 MWW18:MWW46 MXI18:MXI46 MXU18:MXU46 MYG18:MYG46 MYS18:MYS46 MZE18:MZE46 MZQ18:MZQ46 NAC18:NAC46 NAO18:NAO46 NBA18:NBA46 NBM18:NBM46 NBY18:NBY46 NCK18:NCK46 NCW18:NCW46 NDI18:NDI46 NDU18:NDU46 NEG18:NEG46 NES18:NES46 NFE18:NFE46 NFQ18:NFQ46 NGC18:NGC46 NGO18:NGO46 NHA18:NHA46 NHM18:NHM46 NHY18:NHY46 NIK18:NIK46 NIW18:NIW46 NJI18:NJI46 NJU18:NJU46 NKG18:NKG46 NKS18:NKS46 NLE18:NLE46 NLQ18:NLQ46 NMC18:NMC46 NMO18:NMO46 NNA18:NNA46 NNM18:NNM46 NNY18:NNY46 NOK18:NOK46 NOW18:NOW46 NPI18:NPI46 NPU18:NPU46 NQG18:NQG46 NQS18:NQS46 NRE18:NRE46 NRQ18:NRQ46 NSC18:NSC46 NSO18:NSO46 NTA18:NTA46 NTM18:NTM46 NTY18:NTY46 NUK18:NUK46 NUW18:NUW46 NVI18:NVI46 NVU18:NVU46 NWG18:NWG46 NWS18:NWS46 NXE18:NXE46 NXQ18:NXQ46 NYC18:NYC46 NYO18:NYO46 NZA18:NZA46 NZM18:NZM46 NZY18:NZY46 OAK18:OAK46 OAW18:OAW46 OBI18:OBI46 OBU18:OBU46 OCG18:OCG46 OCS18:OCS46 ODE18:ODE46 ODQ18:ODQ46 OEC18:OEC46 OEO18:OEO46 OFA18:OFA46 OFM18:OFM46 OFY18:OFY46 OGK18:OGK46 OGW18:OGW46 OHI18:OHI46 OHU18:OHU46 OIG18:OIG46 OIS18:OIS46 OJE18:OJE46 OJQ18:OJQ46 OKC18:OKC46 OKO18:OKO46 OLA18:OLA46 OLM18:OLM46 OLY18:OLY46 OMK18:OMK46 OMW18:OMW46 ONI18:ONI46 ONU18:ONU46 OOG18:OOG46 OOS18:OOS46 OPE18:OPE46 OPQ18:OPQ46 OQC18:OQC46 OQO18:OQO46 ORA18:ORA46 ORM18:ORM46 ORY18:ORY46 OSK18:OSK46 OSW18:OSW46 OTI18:OTI46 OTU18:OTU46 OUG18:OUG46 OUS18:OUS46 OVE18:OVE46 OVQ18:OVQ46 OWC18:OWC46 OWO18:OWO46 OXA18:OXA46 OXM18:OXM46 OXY18:OXY46 OYK18:OYK46 OYW18:OYW46 OZI18:OZI46 OZU18:OZU46 PAG18:PAG46 PAS18:PAS46 PBE18:PBE46 PBQ18:PBQ46 PCC18:PCC46 PCO18:PCO46 PDA18:PDA46 PDM18:PDM46 PDY18:PDY46 PEK18:PEK46 PEW18:PEW46 PFI18:PFI46 PFU18:PFU46 PGG18:PGG46 PGS18:PGS46 PHE18:PHE46 PHQ18:PHQ46 PIC18:PIC46 PIO18:PIO46 PJA18:PJA46 PJM18:PJM46 PJY18:PJY46 PKK18:PKK46 PKW18:PKW46 PLI18:PLI46 PLU18:PLU46 PMG18:PMG46 PMS18:PMS46 PNE18:PNE46 PNQ18:PNQ46 POC18:POC46 POO18:POO46 PPA18:PPA46 PPM18:PPM46 PPY18:PPY46 PQK18:PQK46 PQW18:PQW46 PRI18:PRI46 PRU18:PRU46 PSG18:PSG46 PSS18:PSS46 PTE18:PTE46 PTQ18:PTQ46 PUC18:PUC46 PUO18:PUO46 PVA18:PVA46 PVM18:PVM46 PVY18:PVY46 PWK18:PWK46 PWW18:PWW46 PXI18:PXI46 PXU18:PXU46 PYG18:PYG46 PYS18:PYS46 PZE18:PZE46 PZQ18:PZQ46 QAC18:QAC46 QAO18:QAO46 QBA18:QBA46 QBM18:QBM46 QBY18:QBY46 QCK18:QCK46 QCW18:QCW46 QDI18:QDI46 QDU18:QDU46 QEG18:QEG46 QES18:QES46 QFE18:QFE46 QFQ18:QFQ46 QGC18:QGC46 QGO18:QGO46 QHA18:QHA46 QHM18:QHM46 QHY18:QHY46 QIK18:QIK46 QIW18:QIW46 QJI18:QJI46 QJU18:QJU46 QKG18:QKG46 QKS18:QKS46 QLE18:QLE46 QLQ18:QLQ46 QMC18:QMC46 QMO18:QMO46 QNA18:QNA46 QNM18:QNM46 QNY18:QNY46 QOK18:QOK46 QOW18:QOW46 QPI18:QPI46 QPU18:QPU46 QQG18:QQG46 QQS18:QQS46 QRE18:QRE46 QRQ18:QRQ46 QSC18:QSC46 QSO18:QSO46 QTA18:QTA46 QTM18:QTM46 QTY18:QTY46 QUK18:QUK46 QUW18:QUW46 QVI18:QVI46 QVU18:QVU46 QWG18:QWG46 QWS18:QWS46 QXE18:QXE46 QXQ18:QXQ46 QYC18:QYC46 QYO18:QYO46 QZA18:QZA46 QZM18:QZM46 QZY18:QZY46 RAK18:RAK46 RAW18:RAW46 RBI18:RBI46 RBU18:RBU46 RCG18:RCG46 RCS18:RCS46 RDE18:RDE46 RDQ18:RDQ46 REC18:REC46 REO18:REO46 RFA18:RFA46 RFM18:RFM46 RFY18:RFY46 RGK18:RGK46 RGW18:RGW46 RHI18:RHI46 RHU18:RHU46 RIG18:RIG46 RIS18:RIS46 RJE18:RJE46 RJQ18:RJQ46 RKC18:RKC46 RKO18:RKO46 RLA18:RLA46 RLM18:RLM46 RLY18:RLY46 RMK18:RMK46 RMW18:RMW46 RNI18:RNI46 RNU18:RNU46 ROG18:ROG46 ROS18:ROS46 RPE18:RPE46 RPQ18:RPQ46 RQC18:RQC46 RQO18:RQO46 RRA18:RRA46 RRM18:RRM46 RRY18:RRY46 RSK18:RSK46 RSW18:RSW46 RTI18:RTI46 RTU18:RTU46 RUG18:RUG46 RUS18:RUS46 RVE18:RVE46 RVQ18:RVQ46 RWC18:RWC46 RWO18:RWO46 RXA18:RXA46 RXM18:RXM46 RXY18:RXY46 RYK18:RYK46 RYW18:RYW46 RZI18:RZI46 RZU18:RZU46 SAG18:SAG46 SAS18:SAS46 SBE18:SBE46 SBQ18:SBQ46 SCC18:SCC46 SCO18:SCO46 SDA18:SDA46 SDM18:SDM46 SDY18:SDY46 SEK18:SEK46 SEW18:SEW46 SFI18:SFI46 SFU18:SFU46 SGG18:SGG46 SGS18:SGS46 SHE18:SHE46 SHQ18:SHQ46 SIC18:SIC46 SIO18:SIO46 SJA18:SJA46 SJM18:SJM46 SJY18:SJY46 SKK18:SKK46 SKW18:SKW46 SLI18:SLI46 SLU18:SLU46 SMG18:SMG46 SMS18:SMS46 SNE18:SNE46 SNQ18:SNQ46 SOC18:SOC46 SOO18:SOO46 SPA18:SPA46 SPM18:SPM46 SPY18:SPY46 SQK18:SQK46 SQW18:SQW46 SRI18:SRI46 SRU18:SRU46 SSG18:SSG46 SSS18:SSS46 STE18:STE46 STQ18:STQ46 SUC18:SUC46 SUO18:SUO46 SVA18:SVA46 SVM18:SVM46 SVY18:SVY46 SWK18:SWK46 SWW18:SWW46 SXI18:SXI46 SXU18:SXU46 SYG18:SYG46 SYS18:SYS46 SZE18:SZE46 SZQ18:SZQ46 TAC18:TAC46 TAO18:TAO46 TBA18:TBA46 TBM18:TBM46 TBY18:TBY46 TCK18:TCK46 TCW18:TCW46 TDI18:TDI46 TDU18:TDU46 TEG18:TEG46 TES18:TES46 TFE18:TFE46 TFQ18:TFQ46 TGC18:TGC46 TGO18:TGO46 THA18:THA46 THM18:THM46 THY18:THY46 TIK18:TIK46 TIW18:TIW46 TJI18:TJI46 TJU18:TJU46 TKG18:TKG46 TKS18:TKS46 TLE18:TLE46 TLQ18:TLQ46 TMC18:TMC46 TMO18:TMO46 TNA18:TNA46 TNM18:TNM46 TNY18:TNY46 TOK18:TOK46 TOW18:TOW46 TPI18:TPI46 TPU18:TPU46 TQG18:TQG46 TQS18:TQS46 TRE18:TRE46 TRQ18:TRQ46 TSC18:TSC46 TSO18:TSO46 TTA18:TTA46 TTM18:TTM46 TTY18:TTY46 TUK18:TUK46 TUW18:TUW46 TVI18:TVI46 TVU18:TVU46 TWG18:TWG46 TWS18:TWS46 TXE18:TXE46 TXQ18:TXQ46 TYC18:TYC46 TYO18:TYO46 TZA18:TZA46 TZM18:TZM46 TZY18:TZY46 UAK18:UAK46 UAW18:UAW46 UBI18:UBI46 UBU18:UBU46 UCG18:UCG46 UCS18:UCS46 UDE18:UDE46 UDQ18:UDQ46 UEC18:UEC46 UEO18:UEO46 UFA18:UFA46 UFM18:UFM46 UFY18:UFY46 UGK18:UGK46 UGW18:UGW46 UHI18:UHI46 UHU18:UHU46 UIG18:UIG46 UIS18:UIS46 UJE18:UJE46 UJQ18:UJQ46 UKC18:UKC46 UKO18:UKO46 ULA18:ULA46 ULM18:ULM46 ULY18:ULY46 UMK18:UMK46 UMW18:UMW46 UNI18:UNI46 UNU18:UNU46 UOG18:UOG46 UOS18:UOS46 UPE18:UPE46 UPQ18:UPQ46 UQC18:UQC46 UQO18:UQO46 URA18:URA46 URM18:URM46 URY18:URY46 USK18:USK46 USW18:USW46 UTI18:UTI46 UTU18:UTU46 UUG18:UUG46 UUS18:UUS46 UVE18:UVE46 UVQ18:UVQ46 UWC18:UWC46 UWO18:UWO46 UXA18:UXA46 UXM18:UXM46 UXY18:UXY46 UYK18:UYK46 UYW18:UYW46 UZI18:UZI46 UZU18:UZU46 VAG18:VAG46 VAS18:VAS46 VBE18:VBE46 VBQ18:VBQ46 VCC18:VCC46 VCO18:VCO46 VDA18:VDA46 VDM18:VDM46 VDY18:VDY46 VEK18:VEK46 VEW18:VEW46 VFI18:VFI46 VFU18:VFU46 VGG18:VGG46 VGS18:VGS46 VHE18:VHE46 VHQ18:VHQ46 VIC18:VIC46 VIO18:VIO46 VJA18:VJA46 VJM18:VJM46 VJY18:VJY46 VKK18:VKK46 VKW18:VKW46 VLI18:VLI46 VLU18:VLU46 VMG18:VMG46 VMS18:VMS46 VNE18:VNE46 VNQ18:VNQ46 VOC18:VOC46 VOO18:VOO46 VPA18:VPA46 VPM18:VPM46 VPY18:VPY46 VQK18:VQK46 VQW18:VQW46 VRI18:VRI46 VRU18:VRU46 VSG18:VSG46 VSS18:VSS46 VTE18:VTE46 VTQ18:VTQ46 VUC18:VUC46 VUO18:VUO46 VVA18:VVA46 VVM18:VVM46 VVY18:VVY46 VWK18:VWK46 VWW18:VWW46 VXI18:VXI46 VXU18:VXU46 VYG18:VYG46 VYS18:VYS46 VZE18:VZE46 VZQ18:VZQ46 WAC18:WAC46 WAO18:WAO46 WBA18:WBA46 WBM18:WBM46 WBY18:WBY46 WCK18:WCK46 WCW18:WCW46 WDI18:WDI46 WDU18:WDU46 WEG18:WEG46 WES18:WES46 WFE18:WFE46 WFQ18:WFQ46 WGC18:WGC46 WGO18:WGO46 WHA18:WHA46 WHM18:WHM46 WHY18:WHY46 WIK18:WIK46 WIW18:WIW46 WJI18:WJI46 WJU18:WJU46 WKG18:WKG46 WKS18:WKS46 WLE18:WLE46 WLQ18:WLQ46 WMC18:WMC46 WMO18:WMO46 WNA18:WNA46 WNM18:WNM46 WNY18:WNY46 WOK18:WOK46 WOW18:WOW46 WPI18:WPI46 WPU18:WPU46 WQG18:WQG46 WQS18:WQS46 WRE18:WRE46 WRQ18:WRQ46 WSC18:WSC46 WSO18:WSO46 WTA18:WTA46 WTM18:WTM46 WTY18:WTY46 WUK18:WUK46 WUW18:WUW46 WVI18:WVI46 WVU18:WVU46 WWG18:WWG46 WWS18:WWS46 WXE18:WXE46 WXQ18:WXQ46 WYC18:WYC46 WYO18:WYO46 WZA18:WZA46 WZM18:WZM46 WZY18:WZY46 XAK18:XAK46 XAW18:XAW46 XBI18:XBI46 XBU18:XBU46 XCG18:XCG46 XCS18:XCS46 XDE18:XDE46 XDQ18:XDQ46 XEC18:XEC46 XEO18:XEO46 XFA18:XFA46 BY23:BY46 CK23:CK46 CW23:CW46 DI23:DI46 DU23:DU46 EG23:EG46 ES23:ES46 FE23:FE46 FQ23:FQ46 GC23:GC46 GO23:GO46 HA23:HA46 HM23:HM46 HY23:HY46 IK23:IK46 IW23:IW46 JI23:JI46 JU23:JU46 KG23:KG46 KS23:KS46 LE23:LE46 LQ23:LQ46 MC23:MC46 MO23:MO46 NA23:NA46 NM23:NM46 NY23:NY46 OK23:OK46 OW23:OW46 PI23:PI46 PU23:PU46 QG23:QG46 QS23:QS46 RE23:RE46 RQ23:RQ46 SC23:SC46 SO23:SO46 TA23:TA46 TM23:TM46 TY23:TY46 UK23:UK46 UW23:UW46 VI23:VI46 VU23:VU46 WG23:WG46 WS23:WS46 XE23:XE46 XQ23:XQ46 YC23:YC46 YO23:YO46 ZA23:ZA46 ZM23:ZM46 ZY23:ZY46 AAK23:AAK46 AAW23:AAW46 ABI23:ABI46 ABU23:ABU46 ACG23:ACG46 ACS23:ACS46 ADE23:ADE46 ADQ23:ADQ46 AEC23:AEC46 AEO23:AEO46 AFA23:AFA46 AFM23:AFM46 AFY23:AFY46 AGK23:AGK46 AGW23:AGW46 AHI23:AHI46 AHU23:AHU46 AIG23:AIG46 AIS23:AIS46 AJE23:AJE46 AJQ23:AJQ46 AKC23:AKC46 AKO23:AKO46 ALA23:ALA46 ALM23:ALM46 ALY23:ALY46 AMK23:AMK46 AMW23:AMW46 ANI23:ANI46 ANU23:ANU46 AOG23:AOG46 AOS23:AOS46 APE23:APE46 APQ23:APQ46 AQC23:AQC46 AQO23:AQO46 ARA23:ARA46 ARM23:ARM46 ARY23:ARY46 ASK23:ASK46 ASW23:ASW46 ATI23:ATI46 ATU23:ATU46 AUG23:AUG46 AUS23:AUS46 AVE23:AVE46 AVQ23:AVQ46 AWC23:AWC46 AWO23:AWO46 AXA23:AXA46 AXM23:AXM46 AXY23:AXY46 AYK23:AYK46 AYW23:AYW46 AZI23:AZI46 AZU23:AZU46 BAG23:BAG46 BAS23:BAS46 BBE23:BBE46 BBQ23:BBQ46 BCC23:BCC46 BCO23:BCO46 BDA23:BDA46 BDM23:BDM46 BDY23:BDY46 BEK23:BEK46 BEW23:BEW46 BFI23:BFI46 BFU23:BFU46 BGG23:BGG46 BGS23:BGS46 BHE23:BHE46 BHQ23:BHQ46 BIC23:BIC46 BIO23:BIO46 BJA23:BJA46 BJM23:BJM46 BJY23:BJY46 BKK23:BKK46 BKW23:BKW46 BLI23:BLI46 BLU23:BLU46 BMG23:BMG46 BMS23:BMS46 BNE23:BNE46 BNQ23:BNQ46 BOC23:BOC46 BOO23:BOO46 BPA23:BPA46 BPM23:BPM46 BPY23:BPY46 BQK23:BQK46 BQW23:BQW46 BRI23:BRI46 BRU23:BRU46 BSG23:BSG46 BSS23:BSS46 BTE23:BTE46 BTQ23:BTQ46 BUC23:BUC46 BUO23:BUO46 BVA23:BVA46 BVM23:BVM46 BVY23:BVY46 BWK23:BWK46 BWW23:BWW46 BXI23:BXI46 BXU23:BXU46 BYG23:BYG46 BYS23:BYS46 BZE23:BZE46 BZQ23:BZQ46 CAC23:CAC46 CAO23:CAO46 CBA23:CBA46 CBM23:CBM46 CBY23:CBY46 CCK23:CCK46 CCW23:CCW46 CDI23:CDI46 CDU23:CDU46 CEG23:CEG46 CES23:CES46 CFE23:CFE46 CFQ23:CFQ46 CGC23:CGC46 CGO23:CGO46 CHA23:CHA46 CHM23:CHM46 CHY23:CHY46 CIK23:CIK46 CIW23:CIW46 CJI23:CJI46 CJU23:CJU46 CKG23:CKG46 CKS23:CKS46 CLE23:CLE46 CLQ23:CLQ46 CMC23:CMC46 CMO23:CMO46 CNA23:CNA46 CNM23:CNM46 CNY23:CNY46 COK23:COK46 COW23:COW46 CPI23:CPI46 CPU23:CPU46 CQG23:CQG46 CQS23:CQS46 CRE23:CRE46 CRQ23:CRQ46 CSC23:CSC46 CSO23:CSO46 CTA23:CTA46 CTM23:CTM46 CTY23:CTY46 CUK23:CUK46 CUW23:CUW46 CVI23:CVI46 CVU23:CVU46 CWG23:CWG46 CWS23:CWS46 CXE23:CXE46 CXQ23:CXQ46 CYC23:CYC46 CYO23:CYO46 CZA23:CZA46 CZM23:CZM46 CZY23:CZY46 DAK23:DAK46 DAW23:DAW46 DBI23:DBI46 DBU23:DBU46 DCG23:DCG46 DCS23:DCS46 DDE23:DDE46 DDQ23:DDQ46 DEC23:DEC46 DEO23:DEO46 DFA23:DFA46 DFM23:DFM46 DFY23:DFY46 DGK23:DGK46 DGW23:DGW46 DHI23:DHI46 DHU23:DHU46 DIG23:DIG46 DIS23:DIS46 DJE23:DJE46 DJQ23:DJQ46 DKC23:DKC46 DKO23:DKO46 DLA23:DLA46 DLM23:DLM46 DLY23:DLY46 DMK23:DMK46 DMW23:DMW46 DNI23:DNI46 DNU23:DNU46 DOG23:DOG46 DOS23:DOS46 DPE23:DPE46 DPQ23:DPQ46 DQC23:DQC46 DQO23:DQO46 DRA23:DRA46 DRM23:DRM46 DRY23:DRY46 DSK23:DSK46 DSW23:DSW46 DTI23:DTI46 DTU23:DTU46 DUG23:DUG46 DUS23:DUS46 DVE23:DVE46 DVQ23:DVQ46 DWC23:DWC46 DWO23:DWO46 DXA23:DXA46 DXM23:DXM46 DXY23:DXY46 DYK23:DYK46 DYW23:DYW46 DZI23:DZI46 DZU23:DZU46 EAG23:EAG46 EAS23:EAS46 EBE23:EBE46 EBQ23:EBQ46 ECC23:ECC46 ECO23:ECO46 EDA23:EDA46 EDM23:EDM46 EDY23:EDY46 EEK23:EEK46 EEW23:EEW46 EFI23:EFI46 EFU23:EFU46 EGG23:EGG46 EGS23:EGS46 EHE23:EHE46 EHQ23:EHQ46 EIC23:EIC46 EIO23:EIO46 EJA23:EJA46 EJM23:EJM46 EJY23:EJY46 EKK23:EKK46 EKW23:EKW46 ELI23:ELI46 ELU23:ELU46 EMG23:EMG46 EMS23:EMS46 ENE23:ENE46 ENQ23:ENQ46 EOC23:EOC46 EOO23:EOO46 EPA23:EPA46 EPM23:EPM46 EPY23:EPY46 EQK23:EQK46 EQW23:EQW46 ERI23:ERI46 ERU23:ERU46 ESG23:ESG46 ESS23:ESS46 ETE23:ETE46 ETQ23:ETQ46 EUC23:EUC46 EUO23:EUO46 EVA23:EVA46 EVM23:EVM46 EVY23:EVY46 EWK23:EWK46 EWW23:EWW46 EXI23:EXI46 EXU23:EXU46 EYG23:EYG46 EYS23:EYS46 EZE23:EZE46 EZQ23:EZQ46 FAC23:FAC46 FAO23:FAO46 FBA23:FBA46 FBM23:FBM46 FBY23:FBY46 FCK23:FCK46 FCW23:FCW46 FDI23:FDI46 FDU23:FDU46 FEG23:FEG46 FES23:FES46 FFE23:FFE46 FFQ23:FFQ46 FGC23:FGC46 FGO23:FGO46 FHA23:FHA46 FHM23:FHM46 FHY23:FHY46 FIK23:FIK46 FIW23:FIW46 FJI23:FJI46 FJU23:FJU46 FKG23:FKG46 FKS23:FKS46 FLE23:FLE46 FLQ23:FLQ46 FMC23:FMC46 FMO23:FMO46 FNA23:FNA46 FNM23:FNM46 FNY23:FNY46 FOK23:FOK46 FOW23:FOW46 FPI23:FPI46 FPU23:FPU46 FQG23:FQG46 FQS23:FQS46 FRE23:FRE46 FRQ23:FRQ46 FSC23:FSC46 FSO23:FSO46 FTA23:FTA46 FTM23:FTM46 FTY23:FTY46 FUK23:FUK46 FUW23:FUW46 FVI23:FVI46 FVU23:FVU46 FWG23:FWG46 FWS23:FWS46 FXE23:FXE46 FXQ23:FXQ46 FYC23:FYC46 FYO23:FYO46 FZA23:FZA46 FZM23:FZM46 FZY23:FZY46 GAK23:GAK46 GAW23:GAW46 GBI23:GBI46 GBU23:GBU46 GCG23:GCG46 GCS23:GCS46 GDE23:GDE46 GDQ23:GDQ46 GEC23:GEC46 GEO23:GEO46 GFA23:GFA46 GFM23:GFM46 GFY23:GFY46 GGK23:GGK46 GGW23:GGW46 GHI23:GHI46 GHU23:GHU46 GIG23:GIG46 GIS23:GIS46 GJE23:GJE46 GJQ23:GJQ46 GKC23:GKC46 GKO23:GKO46 GLA23:GLA46 GLM23:GLM46 GLY23:GLY46 GMK23:GMK46 GMW23:GMW46 GNI23:GNI46 GNU23:GNU46 GOG23:GOG46 GOS23:GOS46 GPE23:GPE46 GPQ23:GPQ46 GQC23:GQC46 GQO23:GQO46 GRA23:GRA46 GRM23:GRM46 GRY23:GRY46 GSK23:GSK46 GSW23:GSW46 GTI23:GTI46 GTU23:GTU46 GUG23:GUG46 GUS23:GUS46 GVE23:GVE46 GVQ23:GVQ46 GWC23:GWC46 GWO23:GWO46 GXA23:GXA46 GXM23:GXM46 GXY23:GXY46 GYK23:GYK46 GYW23:GYW46 GZI23:GZI46 GZU23:GZU46 HAG23:HAG46 HAS23:HAS46 HBE23:HBE46 HBQ23:HBQ46 HCC23:HCC46 HCO23:HCO46 HDA23:HDA46 HDM23:HDM46 HDY23:HDY46 HEK23:HEK46 HEW23:HEW46 HFI23:HFI46 HFU23:HFU46 HGG23:HGG46 HGS23:HGS46 HHE23:HHE46 HHQ23:HHQ46 HIC23:HIC46 HIO23:HIO46 HJA23:HJA46 HJM23:HJM46 HJY23:HJY46 HKK23:HKK46 HKW23:HKW46 HLI23:HLI46 HLU23:HLU46 HMG23:HMG46 HMS23:HMS46 HNE23:HNE46 HNQ23:HNQ46 HOC23:HOC46 HOO23:HOO46 HPA23:HPA46 HPM23:HPM46 HPY23:HPY46 HQK23:HQK46 HQW23:HQW46 HRI23:HRI46 HRU23:HRU46 HSG23:HSG46 HSS23:HSS46 HTE23:HTE46 HTQ23:HTQ46 HUC23:HUC46 HUO23:HUO46 HVA23:HVA46 HVM23:HVM46 HVY23:HVY46 HWK23:HWK46 HWW23:HWW46 HXI23:HXI46 HXU23:HXU46 HYG23:HYG46 HYS23:HYS46 HZE23:HZE46 HZQ23:HZQ46 IAC23:IAC46 IAO23:IAO46 IBA23:IBA46 IBM23:IBM46 IBY23:IBY46 ICK23:ICK46 ICW23:ICW46 IDI23:IDI46 IDU23:IDU46 IEG23:IEG46 IES23:IES46 IFE23:IFE46 IFQ23:IFQ46 IGC23:IGC46 IGO23:IGO46 IHA23:IHA46 IHM23:IHM46 IHY23:IHY46 IIK23:IIK46 IIW23:IIW46 IJI23:IJI46 IJU23:IJU46 IKG23:IKG46 IKS23:IKS46 ILE23:ILE46 ILQ23:ILQ46 IMC23:IMC46 IMO23:IMO46 INA23:INA46 INM23:INM46 INY23:INY46 IOK23:IOK46 IOW23:IOW46 IPI23:IPI46 IPU23:IPU46 IQG23:IQG46 IQS23:IQS46 IRE23:IRE46 IRQ23:IRQ46 ISC23:ISC46 ISO23:ISO46 ITA23:ITA46 ITM23:ITM46 ITY23:ITY46 IUK23:IUK46 IUW23:IUW46 IVI23:IVI46 IVU23:IVU46 IWG23:IWG46 IWS23:IWS46 IXE23:IXE46 IXQ23:IXQ46 IYC23:IYC46 IYO23:IYO46 IZA23:IZA46 IZM23:IZM46 IZY23:IZY46 JAK23:JAK46 JAW23:JAW46 JBI23:JBI46 JBU23:JBU46 JCG23:JCG46 JCS23:JCS46 JDE23:JDE46 JDQ23:JDQ46 JEC23:JEC46 JEO23:JEO46 JFA23:JFA46 JFM23:JFM46 JFY23:JFY46 JGK23:JGK46 JGW23:JGW46 JHI23:JHI46 JHU23:JHU46 JIG23:JIG46 JIS23:JIS46 JJE23:JJE46 JJQ23:JJQ46 JKC23:JKC46 JKO23:JKO46 JLA23:JLA46 JLM23:JLM46 JLY23:JLY46 JMK23:JMK46 JMW23:JMW46 JNI23:JNI46 JNU23:JNU46 JOG23:JOG46 JOS23:JOS46 JPE23:JPE46 JPQ23:JPQ46 JQC23:JQC46 JQO23:JQO46 JRA23:JRA46 JRM23:JRM46 JRY23:JRY46 JSK23:JSK46 JSW23:JSW46 JTI23:JTI46 JTU23:JTU46 JUG23:JUG46 JUS23:JUS46 JVE23:JVE46 JVQ23:JVQ46 JWC23:JWC46 JWO23:JWO46 JXA23:JXA46 JXM23:JXM46 JXY23:JXY46 JYK23:JYK46 JYW23:JYW46 JZI23:JZI46 JZU23:JZU46 KAG23:KAG46 KAS23:KAS46 KBE23:KBE46 KBQ23:KBQ46 KCC23:KCC46 KCO23:KCO46 KDA23:KDA46 KDM23:KDM46 KDY23:KDY46 KEK23:KEK46 KEW23:KEW46 KFI23:KFI46 KFU23:KFU46 KGG23:KGG46 KGS23:KGS46 KHE23:KHE46 KHQ23:KHQ46 KIC23:KIC46 KIO23:KIO46 KJA23:KJA46 KJM23:KJM46 KJY23:KJY46 KKK23:KKK46 KKW23:KKW46 KLI23:KLI46 KLU23:KLU46 KMG23:KMG46 KMS23:KMS46 KNE23:KNE46 KNQ23:KNQ46 KOC23:KOC46 KOO23:KOO46 KPA23:KPA46 KPM23:KPM46 KPY23:KPY46 KQK23:KQK46 KQW23:KQW46 KRI23:KRI46 KRU23:KRU46 KSG23:KSG46 KSS23:KSS46 KTE23:KTE46 KTQ23:KTQ46 KUC23:KUC46 KUO23:KUO46 KVA23:KVA46 KVM23:KVM46 KVY23:KVY46 KWK23:KWK46 KWW23:KWW46 KXI23:KXI46 KXU23:KXU46 KYG23:KYG46 KYS23:KYS46 KZE23:KZE46 KZQ23:KZQ46 LAC23:LAC46 LAO23:LAO46 LBA23:LBA46 LBM23:LBM46 LBY23:LBY46 LCK23:LCK46 LCW23:LCW46 LDI23:LDI46 LDU23:LDU46 LEG23:LEG46 LES23:LES46 LFE23:LFE46 LFQ23:LFQ46 LGC23:LGC46 LGO23:LGO46 LHA23:LHA46 LHM23:LHM46 LHY23:LHY46 LIK23:LIK46 LIW23:LIW46 LJI23:LJI46 LJU23:LJU46 LKG23:LKG46 LKS23:LKS46 LLE23:LLE46 LLQ23:LLQ46 LMC23:LMC46 LMO23:LMO46 LNA23:LNA46 LNM23:LNM46 LNY23:LNY46 LOK23:LOK46 LOW23:LOW46 LPI23:LPI46 LPU23:LPU46 LQG23:LQG46 LQS23:LQS46 LRE23:LRE46 LRQ23:LRQ46 LSC23:LSC46 LSO23:LSO46 LTA23:LTA46 LTM23:LTM46 LTY23:LTY46 LUK23:LUK46 LUW23:LUW46 LVI23:LVI46 LVU23:LVU46 LWG23:LWG46 LWS23:LWS46 LXE23:LXE46 LXQ23:LXQ46 LYC23:LYC46 LYO23:LYO46 LZA23:LZA46 LZM23:LZM46 LZY23:LZY46 MAK23:MAK46 MAW23:MAW46 MBI23:MBI46 MBU23:MBU46 MCG23:MCG46 MCS23:MCS46 MDE23:MDE46 MDQ23:MDQ46 MEC23:MEC46 MEO23:MEO46 MFA23:MFA46 MFM23:MFM46 MFY23:MFY46 MGK23:MGK46 MGW23:MGW46 MHI23:MHI46 MHU23:MHU46 MIG23:MIG46 MIS23:MIS46 MJE23:MJE46 MJQ23:MJQ46 MKC23:MKC46 MKO23:MKO46 MLA23:MLA46 MLM23:MLM46 MLY23:MLY46 MMK23:MMK46 MMW23:MMW46 MNI23:MNI46 MNU23:MNU46 MOG23:MOG46 MOS23:MOS46 MPE23:MPE46 MPQ23:MPQ46 MQC23:MQC46 MQO23:MQO46 MRA23:MRA46 MRM23:MRM46 MRY23:MRY46 MSK23:MSK46 MSW23:MSW46 MTI23:MTI46 MTU23:MTU46 MUG23:MUG46 MUS23:MUS46 MVE23:MVE46 MVQ23:MVQ46 MWC23:MWC46 MWO23:MWO46 MXA23:MXA46 MXM23:MXM46 MXY23:MXY46 MYK23:MYK46 MYW23:MYW46 MZI23:MZI46 MZU23:MZU46 NAG23:NAG46 NAS23:NAS46 NBE23:NBE46 NBQ23:NBQ46 NCC23:NCC46 NCO23:NCO46 NDA23:NDA46 NDM23:NDM46 NDY23:NDY46 NEK23:NEK46 NEW23:NEW46 NFI23:NFI46 NFU23:NFU46 NGG23:NGG46 NGS23:NGS46 NHE23:NHE46 NHQ23:NHQ46 NIC23:NIC46 NIO23:NIO46 NJA23:NJA46 NJM23:NJM46 NJY23:NJY46 NKK23:NKK46 NKW23:NKW46 NLI23:NLI46 NLU23:NLU46 NMG23:NMG46 NMS23:NMS46 NNE23:NNE46 NNQ23:NNQ46 NOC23:NOC46 NOO23:NOO46 NPA23:NPA46 NPM23:NPM46 NPY23:NPY46 NQK23:NQK46 NQW23:NQW46 NRI23:NRI46 NRU23:NRU46 NSG23:NSG46 NSS23:NSS46 NTE23:NTE46 NTQ23:NTQ46 NUC23:NUC46 NUO23:NUO46 NVA23:NVA46 NVM23:NVM46 NVY23:NVY46 NWK23:NWK46 NWW23:NWW46 NXI23:NXI46 NXU23:NXU46 NYG23:NYG46 NYS23:NYS46 NZE23:NZE46 NZQ23:NZQ46 OAC23:OAC46 OAO23:OAO46 OBA23:OBA46 OBM23:OBM46 OBY23:OBY46 OCK23:OCK46 OCW23:OCW46 ODI23:ODI46 ODU23:ODU46 OEG23:OEG46 OES23:OES46 OFE23:OFE46 OFQ23:OFQ46 OGC23:OGC46 OGO23:OGO46 OHA23:OHA46 OHM23:OHM46 OHY23:OHY46 OIK23:OIK46 OIW23:OIW46 OJI23:OJI46 OJU23:OJU46 OKG23:OKG46 OKS23:OKS46 OLE23:OLE46 OLQ23:OLQ46 OMC23:OMC46 OMO23:OMO46 ONA23:ONA46 ONM23:ONM46 ONY23:ONY46 OOK23:OOK46 OOW23:OOW46 OPI23:OPI46 OPU23:OPU46 OQG23:OQG46 OQS23:OQS46 ORE23:ORE46 ORQ23:ORQ46 OSC23:OSC46 OSO23:OSO46 OTA23:OTA46 OTM23:OTM46 OTY23:OTY46 OUK23:OUK46 OUW23:OUW46 OVI23:OVI46 OVU23:OVU46 OWG23:OWG46 OWS23:OWS46 OXE23:OXE46 OXQ23:OXQ46 OYC23:OYC46 OYO23:OYO46 OZA23:OZA46 OZM23:OZM46 OZY23:OZY46 PAK23:PAK46 PAW23:PAW46 PBI23:PBI46 PBU23:PBU46 PCG23:PCG46 PCS23:PCS46 PDE23:PDE46 PDQ23:PDQ46 PEC23:PEC46 PEO23:PEO46 PFA23:PFA46 PFM23:PFM46 PFY23:PFY46 PGK23:PGK46 PGW23:PGW46 PHI23:PHI46 PHU23:PHU46 PIG23:PIG46 PIS23:PIS46 PJE23:PJE46 PJQ23:PJQ46 PKC23:PKC46 PKO23:PKO46 PLA23:PLA46 PLM23:PLM46 PLY23:PLY46 PMK23:PMK46 PMW23:PMW46 PNI23:PNI46 PNU23:PNU46 POG23:POG46 POS23:POS46 PPE23:PPE46 PPQ23:PPQ46 PQC23:PQC46 PQO23:PQO46 PRA23:PRA46 PRM23:PRM46 PRY23:PRY46 PSK23:PSK46 PSW23:PSW46 PTI23:PTI46 PTU23:PTU46 PUG23:PUG46 PUS23:PUS46 PVE23:PVE46 PVQ23:PVQ46 PWC23:PWC46 PWO23:PWO46 PXA23:PXA46 PXM23:PXM46 PXY23:PXY46 PYK23:PYK46 PYW23:PYW46 PZI23:PZI46 PZU23:PZU46 QAG23:QAG46 QAS23:QAS46 QBE23:QBE46 QBQ23:QBQ46 QCC23:QCC46 QCO23:QCO46 QDA23:QDA46 QDM23:QDM46 QDY23:QDY46 QEK23:QEK46 QEW23:QEW46 QFI23:QFI46 QFU23:QFU46 QGG23:QGG46 QGS23:QGS46 QHE23:QHE46 QHQ23:QHQ46 QIC23:QIC46 QIO23:QIO46 QJA23:QJA46 QJM23:QJM46 QJY23:QJY46 QKK23:QKK46 QKW23:QKW46 QLI23:QLI46 QLU23:QLU46 QMG23:QMG46 QMS23:QMS46 QNE23:QNE46 QNQ23:QNQ46 QOC23:QOC46 QOO23:QOO46 QPA23:QPA46 QPM23:QPM46 QPY23:QPY46 QQK23:QQK46 QQW23:QQW46 QRI23:QRI46 QRU23:QRU46 QSG23:QSG46 QSS23:QSS46 QTE23:QTE46 QTQ23:QTQ46 QUC23:QUC46 QUO23:QUO46 QVA23:QVA46 QVM23:QVM46 QVY23:QVY46 QWK23:QWK46 QWW23:QWW46 QXI23:QXI46 QXU23:QXU46 QYG23:QYG46 QYS23:QYS46 QZE23:QZE46 QZQ23:QZQ46 RAC23:RAC46 RAO23:RAO46 RBA23:RBA46 RBM23:RBM46 RBY23:RBY46 RCK23:RCK46 RCW23:RCW46 RDI23:RDI46 RDU23:RDU46 REG23:REG46 RES23:RES46 RFE23:RFE46 RFQ23:RFQ46 RGC23:RGC46 RGO23:RGO46 RHA23:RHA46 RHM23:RHM46 RHY23:RHY46 RIK23:RIK46 RIW23:RIW46 RJI23:RJI46 RJU23:RJU46 RKG23:RKG46 RKS23:RKS46 RLE23:RLE46 RLQ23:RLQ46 RMC23:RMC46 RMO23:RMO46 RNA23:RNA46 RNM23:RNM46 RNY23:RNY46 ROK23:ROK46 ROW23:ROW46 RPI23:RPI46 RPU23:RPU46 RQG23:RQG46 RQS23:RQS46 RRE23:RRE46 RRQ23:RRQ46 RSC23:RSC46 RSO23:RSO46 RTA23:RTA46 RTM23:RTM46 RTY23:RTY46 RUK23:RUK46 RUW23:RUW46 RVI23:RVI46 RVU23:RVU46 RWG23:RWG46 RWS23:RWS46 RXE23:RXE46 RXQ23:RXQ46 RYC23:RYC46 RYO23:RYO46 RZA23:RZA46 RZM23:RZM46 RZY23:RZY46 SAK23:SAK46 SAW23:SAW46 SBI23:SBI46 SBU23:SBU46 SCG23:SCG46 SCS23:SCS46 SDE23:SDE46 SDQ23:SDQ46 SEC23:SEC46 SEO23:SEO46 SFA23:SFA46 SFM23:SFM46 SFY23:SFY46 SGK23:SGK46 SGW23:SGW46 SHI23:SHI46 SHU23:SHU46 SIG23:SIG46 SIS23:SIS46 SJE23:SJE46 SJQ23:SJQ46 SKC23:SKC46 SKO23:SKO46 SLA23:SLA46 SLM23:SLM46 SLY23:SLY46 SMK23:SMK46 SMW23:SMW46 SNI23:SNI46 SNU23:SNU46 SOG23:SOG46 SOS23:SOS46 SPE23:SPE46 SPQ23:SPQ46 SQC23:SQC46 SQO23:SQO46 SRA23:SRA46 SRM23:SRM46 SRY23:SRY46 SSK23:SSK46 SSW23:SSW46 STI23:STI46 STU23:STU46 SUG23:SUG46 SUS23:SUS46 SVE23:SVE46 SVQ23:SVQ46 SWC23:SWC46 SWO23:SWO46 SXA23:SXA46 SXM23:SXM46 SXY23:SXY46 SYK23:SYK46 SYW23:SYW46 SZI23:SZI46 SZU23:SZU46 TAG23:TAG46 TAS23:TAS46 TBE23:TBE46 TBQ23:TBQ46 TCC23:TCC46 TCO23:TCO46 TDA23:TDA46 TDM23:TDM46 TDY23:TDY46 TEK23:TEK46 TEW23:TEW46 TFI23:TFI46 TFU23:TFU46 TGG23:TGG46 TGS23:TGS46 THE23:THE46 THQ23:THQ46 TIC23:TIC46 TIO23:TIO46 TJA23:TJA46 TJM23:TJM46 TJY23:TJY46 TKK23:TKK46 TKW23:TKW46 TLI23:TLI46 TLU23:TLU46 TMG23:TMG46 TMS23:TMS46 TNE23:TNE46 TNQ23:TNQ46 TOC23:TOC46 TOO23:TOO46 TPA23:TPA46 TPM23:TPM46 TPY23:TPY46 TQK23:TQK46 TQW23:TQW46 TRI23:TRI46 TRU23:TRU46 TSG23:TSG46 TSS23:TSS46 TTE23:TTE46 TTQ23:TTQ46 TUC23:TUC46 TUO23:TUO46 TVA23:TVA46 TVM23:TVM46 TVY23:TVY46 TWK23:TWK46 TWW23:TWW46 TXI23:TXI46 TXU23:TXU46 TYG23:TYG46 TYS23:TYS46 TZE23:TZE46 TZQ23:TZQ46 UAC23:UAC46 UAO23:UAO46 UBA23:UBA46 UBM23:UBM46 UBY23:UBY46 UCK23:UCK46 UCW23:UCW46 UDI23:UDI46 UDU23:UDU46 UEG23:UEG46 UES23:UES46 UFE23:UFE46 UFQ23:UFQ46 UGC23:UGC46 UGO23:UGO46 UHA23:UHA46 UHM23:UHM46 UHY23:UHY46 UIK23:UIK46 UIW23:UIW46 UJI23:UJI46 UJU23:UJU46 UKG23:UKG46 UKS23:UKS46 ULE23:ULE46 ULQ23:ULQ46 UMC23:UMC46 UMO23:UMO46 UNA23:UNA46 UNM23:UNM46 UNY23:UNY46 UOK23:UOK46 UOW23:UOW46 UPI23:UPI46 UPU23:UPU46 UQG23:UQG46 UQS23:UQS46 URE23:URE46 URQ23:URQ46 USC23:USC46 USO23:USO46 UTA23:UTA46 UTM23:UTM46 UTY23:UTY46 UUK23:UUK46 UUW23:UUW46 UVI23:UVI46 UVU23:UVU46 UWG23:UWG46 UWS23:UWS46 UXE23:UXE46 UXQ23:UXQ46 UYC23:UYC46 UYO23:UYO46 UZA23:UZA46 UZM23:UZM46 UZY23:UZY46 VAK23:VAK46 VAW23:VAW46 VBI23:VBI46 VBU23:VBU46 VCG23:VCG46 VCS23:VCS46 VDE23:VDE46 VDQ23:VDQ46 VEC23:VEC46 VEO23:VEO46 VFA23:VFA46 VFM23:VFM46 VFY23:VFY46 VGK23:VGK46 VGW23:VGW46 VHI23:VHI46 VHU23:VHU46 VIG23:VIG46 VIS23:VIS46 VJE23:VJE46 VJQ23:VJQ46 VKC23:VKC46 VKO23:VKO46 VLA23:VLA46 VLM23:VLM46 VLY23:VLY46 VMK23:VMK46 VMW23:VMW46 VNI23:VNI46 VNU23:VNU46 VOG23:VOG46 VOS23:VOS46 VPE23:VPE46 VPQ23:VPQ46 VQC23:VQC46 VQO23:VQO46 VRA23:VRA46 VRM23:VRM46 VRY23:VRY46 VSK23:VSK46 VSW23:VSW46 VTI23:VTI46 VTU23:VTU46 VUG23:VUG46 VUS23:VUS46 VVE23:VVE46 VVQ23:VVQ46 VWC23:VWC46 VWO23:VWO46 VXA23:VXA46 VXM23:VXM46 VXY23:VXY46 VYK23:VYK46 VYW23:VYW46 VZI23:VZI46 VZU23:VZU46 WAG23:WAG46 WAS23:WAS46 WBE23:WBE46 WBQ23:WBQ46 WCC23:WCC46 WCO23:WCO46 WDA23:WDA46 WDM23:WDM46 WDY23:WDY46 WEK23:WEK46 WEW23:WEW46 WFI23:WFI46 WFU23:WFU46 WGG23:WGG46 WGS23:WGS46 WHE23:WHE46 WHQ23:WHQ46 WIC23:WIC46 WIO23:WIO46 WJA23:WJA46 WJM23:WJM46 WJY23:WJY46 WKK23:WKK46 WKW23:WKW46 WLI23:WLI46 WLU23:WLU46 WMG23:WMG46 WMS23:WMS46 WNE23:WNE46 WNQ23:WNQ46 WOC23:WOC46 WOO23:WOO46 WPA23:WPA46 WPM23:WPM46 WPY23:WPY46 WQK23:WQK46 WQW23:WQW46 WRI23:WRI46 WRU23:WRU46 WSG23:WSG46 WSS23:WSS46 WTE23:WTE46 WTQ23:WTQ46 WUC23:WUC46 WUO23:WUO46 WVA23:WVA46 WVM23:WVM46 WVY23:WVY46 WWK23:WWK46 WWW23:WWW46 WXI23:WXI46 WXU23:WXU46 WYG23:WYG46 WYS23:WYS46 WZE23:WZE46 WZQ23:WZQ46 XAC23:XAC46 XAO23:XAO46 XBA23:XBA46 XBM23:XBM46 XBY23:XBY46 XCK23:XCK46 XCW23:XCW46 XDI23:XDI46 XDU23:XDU46 XEG23:XEG46 XES23:XES46 A1:A46 E1:E46 E54:E1048576 A54:A1048576">
    <cfRule type="duplicateValues" dxfId="3062" priority="134"/>
  </conditionalFormatting>
  <conditionalFormatting sqref="BY18:BY22 CK18:CK22 CW18:CW22 DI18:DI22 DU18:DU22 EG18:EG22 ES18:ES22 FE18:FE22 FQ18:FQ22 GC18:GC22 GO18:GO22 HA18:HA22 HM18:HM22 HY18:HY22 IK18:IK22 IW18:IW22 JI18:JI22 JU18:JU22 KG18:KG22 KS18:KS22 LE18:LE22 LQ18:LQ22 MC18:MC22 MO18:MO22 NA18:NA22 NM18:NM22 NY18:NY22 OK18:OK22 OW18:OW22 PI18:PI22 PU18:PU22 QG18:QG22 QS18:QS22 RE18:RE22 RQ18:RQ22 SC18:SC22 SO18:SO22 TA18:TA22 TM18:TM22 TY18:TY22 UK18:UK22 UW18:UW22 VI18:VI22 VU18:VU22 WG18:WG22 WS18:WS22 XE18:XE22 XQ18:XQ22 YC18:YC22 YO18:YO22 ZA18:ZA22 ZM18:ZM22 ZY18:ZY22 AAK18:AAK22 AAW18:AAW22 ABI18:ABI22 ABU18:ABU22 ACG18:ACG22 ACS18:ACS22 ADE18:ADE22 ADQ18:ADQ22 AEC18:AEC22 AEO18:AEO22 AFA18:AFA22 AFM18:AFM22 AFY18:AFY22 AGK18:AGK22 AGW18:AGW22 AHI18:AHI22 AHU18:AHU22 AIG18:AIG22 AIS18:AIS22 AJE18:AJE22 AJQ18:AJQ22 AKC18:AKC22 AKO18:AKO22 ALA18:ALA22 ALM18:ALM22 ALY18:ALY22 AMK18:AMK22 AMW18:AMW22 ANI18:ANI22 ANU18:ANU22 AOG18:AOG22 AOS18:AOS22 APE18:APE22 APQ18:APQ22 AQC18:AQC22 AQO18:AQO22 ARA18:ARA22 ARM18:ARM22 ARY18:ARY22 ASK18:ASK22 ASW18:ASW22 ATI18:ATI22 ATU18:ATU22 AUG18:AUG22 AUS18:AUS22 AVE18:AVE22 AVQ18:AVQ22 AWC18:AWC22 AWO18:AWO22 AXA18:AXA22 AXM18:AXM22 AXY18:AXY22 AYK18:AYK22 AYW18:AYW22 AZI18:AZI22 AZU18:AZU22 BAG18:BAG22 BAS18:BAS22 BBE18:BBE22 BBQ18:BBQ22 BCC18:BCC22 BCO18:BCO22 BDA18:BDA22 BDM18:BDM22 BDY18:BDY22 BEK18:BEK22 BEW18:BEW22 BFI18:BFI22 BFU18:BFU22 BGG18:BGG22 BGS18:BGS22 BHE18:BHE22 BHQ18:BHQ22 BIC18:BIC22 BIO18:BIO22 BJA18:BJA22 BJM18:BJM22 BJY18:BJY22 BKK18:BKK22 BKW18:BKW22 BLI18:BLI22 BLU18:BLU22 BMG18:BMG22 BMS18:BMS22 BNE18:BNE22 BNQ18:BNQ22 BOC18:BOC22 BOO18:BOO22 BPA18:BPA22 BPM18:BPM22 BPY18:BPY22 BQK18:BQK22 BQW18:BQW22 BRI18:BRI22 BRU18:BRU22 BSG18:BSG22 BSS18:BSS22 BTE18:BTE22 BTQ18:BTQ22 BUC18:BUC22 BUO18:BUO22 BVA18:BVA22 BVM18:BVM22 BVY18:BVY22 BWK18:BWK22 BWW18:BWW22 BXI18:BXI22 BXU18:BXU22 BYG18:BYG22 BYS18:BYS22 BZE18:BZE22 BZQ18:BZQ22 CAC18:CAC22 CAO18:CAO22 CBA18:CBA22 CBM18:CBM22 CBY18:CBY22 CCK18:CCK22 CCW18:CCW22 CDI18:CDI22 CDU18:CDU22 CEG18:CEG22 CES18:CES22 CFE18:CFE22 CFQ18:CFQ22 CGC18:CGC22 CGO18:CGO22 CHA18:CHA22 CHM18:CHM22 CHY18:CHY22 CIK18:CIK22 CIW18:CIW22 CJI18:CJI22 CJU18:CJU22 CKG18:CKG22 CKS18:CKS22 CLE18:CLE22 CLQ18:CLQ22 CMC18:CMC22 CMO18:CMO22 CNA18:CNA22 CNM18:CNM22 CNY18:CNY22 COK18:COK22 COW18:COW22 CPI18:CPI22 CPU18:CPU22 CQG18:CQG22 CQS18:CQS22 CRE18:CRE22 CRQ18:CRQ22 CSC18:CSC22 CSO18:CSO22 CTA18:CTA22 CTM18:CTM22 CTY18:CTY22 CUK18:CUK22 CUW18:CUW22 CVI18:CVI22 CVU18:CVU22 CWG18:CWG22 CWS18:CWS22 CXE18:CXE22 CXQ18:CXQ22 CYC18:CYC22 CYO18:CYO22 CZA18:CZA22 CZM18:CZM22 CZY18:CZY22 DAK18:DAK22 DAW18:DAW22 DBI18:DBI22 DBU18:DBU22 DCG18:DCG22 DCS18:DCS22 DDE18:DDE22 DDQ18:DDQ22 DEC18:DEC22 DEO18:DEO22 DFA18:DFA22 DFM18:DFM22 DFY18:DFY22 DGK18:DGK22 DGW18:DGW22 DHI18:DHI22 DHU18:DHU22 DIG18:DIG22 DIS18:DIS22 DJE18:DJE22 DJQ18:DJQ22 DKC18:DKC22 DKO18:DKO22 DLA18:DLA22 DLM18:DLM22 DLY18:DLY22 DMK18:DMK22 DMW18:DMW22 DNI18:DNI22 DNU18:DNU22 DOG18:DOG22 DOS18:DOS22 DPE18:DPE22 DPQ18:DPQ22 DQC18:DQC22 DQO18:DQO22 DRA18:DRA22 DRM18:DRM22 DRY18:DRY22 DSK18:DSK22 DSW18:DSW22 DTI18:DTI22 DTU18:DTU22 DUG18:DUG22 DUS18:DUS22 DVE18:DVE22 DVQ18:DVQ22 DWC18:DWC22 DWO18:DWO22 DXA18:DXA22 DXM18:DXM22 DXY18:DXY22 DYK18:DYK22 DYW18:DYW22 DZI18:DZI22 DZU18:DZU22 EAG18:EAG22 EAS18:EAS22 EBE18:EBE22 EBQ18:EBQ22 ECC18:ECC22 ECO18:ECO22 EDA18:EDA22 EDM18:EDM22 EDY18:EDY22 EEK18:EEK22 EEW18:EEW22 EFI18:EFI22 EFU18:EFU22 EGG18:EGG22 EGS18:EGS22 EHE18:EHE22 EHQ18:EHQ22 EIC18:EIC22 EIO18:EIO22 EJA18:EJA22 EJM18:EJM22 EJY18:EJY22 EKK18:EKK22 EKW18:EKW22 ELI18:ELI22 ELU18:ELU22 EMG18:EMG22 EMS18:EMS22 ENE18:ENE22 ENQ18:ENQ22 EOC18:EOC22 EOO18:EOO22 EPA18:EPA22 EPM18:EPM22 EPY18:EPY22 EQK18:EQK22 EQW18:EQW22 ERI18:ERI22 ERU18:ERU22 ESG18:ESG22 ESS18:ESS22 ETE18:ETE22 ETQ18:ETQ22 EUC18:EUC22 EUO18:EUO22 EVA18:EVA22 EVM18:EVM22 EVY18:EVY22 EWK18:EWK22 EWW18:EWW22 EXI18:EXI22 EXU18:EXU22 EYG18:EYG22 EYS18:EYS22 EZE18:EZE22 EZQ18:EZQ22 FAC18:FAC22 FAO18:FAO22 FBA18:FBA22 FBM18:FBM22 FBY18:FBY22 FCK18:FCK22 FCW18:FCW22 FDI18:FDI22 FDU18:FDU22 FEG18:FEG22 FES18:FES22 FFE18:FFE22 FFQ18:FFQ22 FGC18:FGC22 FGO18:FGO22 FHA18:FHA22 FHM18:FHM22 FHY18:FHY22 FIK18:FIK22 FIW18:FIW22 FJI18:FJI22 FJU18:FJU22 FKG18:FKG22 FKS18:FKS22 FLE18:FLE22 FLQ18:FLQ22 FMC18:FMC22 FMO18:FMO22 FNA18:FNA22 FNM18:FNM22 FNY18:FNY22 FOK18:FOK22 FOW18:FOW22 FPI18:FPI22 FPU18:FPU22 FQG18:FQG22 FQS18:FQS22 FRE18:FRE22 FRQ18:FRQ22 FSC18:FSC22 FSO18:FSO22 FTA18:FTA22 FTM18:FTM22 FTY18:FTY22 FUK18:FUK22 FUW18:FUW22 FVI18:FVI22 FVU18:FVU22 FWG18:FWG22 FWS18:FWS22 FXE18:FXE22 FXQ18:FXQ22 FYC18:FYC22 FYO18:FYO22 FZA18:FZA22 FZM18:FZM22 FZY18:FZY22 GAK18:GAK22 GAW18:GAW22 GBI18:GBI22 GBU18:GBU22 GCG18:GCG22 GCS18:GCS22 GDE18:GDE22 GDQ18:GDQ22 GEC18:GEC22 GEO18:GEO22 GFA18:GFA22 GFM18:GFM22 GFY18:GFY22 GGK18:GGK22 GGW18:GGW22 GHI18:GHI22 GHU18:GHU22 GIG18:GIG22 GIS18:GIS22 GJE18:GJE22 GJQ18:GJQ22 GKC18:GKC22 GKO18:GKO22 GLA18:GLA22 GLM18:GLM22 GLY18:GLY22 GMK18:GMK22 GMW18:GMW22 GNI18:GNI22 GNU18:GNU22 GOG18:GOG22 GOS18:GOS22 GPE18:GPE22 GPQ18:GPQ22 GQC18:GQC22 GQO18:GQO22 GRA18:GRA22 GRM18:GRM22 GRY18:GRY22 GSK18:GSK22 GSW18:GSW22 GTI18:GTI22 GTU18:GTU22 GUG18:GUG22 GUS18:GUS22 GVE18:GVE22 GVQ18:GVQ22 GWC18:GWC22 GWO18:GWO22 GXA18:GXA22 GXM18:GXM22 GXY18:GXY22 GYK18:GYK22 GYW18:GYW22 GZI18:GZI22 GZU18:GZU22 HAG18:HAG22 HAS18:HAS22 HBE18:HBE22 HBQ18:HBQ22 HCC18:HCC22 HCO18:HCO22 HDA18:HDA22 HDM18:HDM22 HDY18:HDY22 HEK18:HEK22 HEW18:HEW22 HFI18:HFI22 HFU18:HFU22 HGG18:HGG22 HGS18:HGS22 HHE18:HHE22 HHQ18:HHQ22 HIC18:HIC22 HIO18:HIO22 HJA18:HJA22 HJM18:HJM22 HJY18:HJY22 HKK18:HKK22 HKW18:HKW22 HLI18:HLI22 HLU18:HLU22 HMG18:HMG22 HMS18:HMS22 HNE18:HNE22 HNQ18:HNQ22 HOC18:HOC22 HOO18:HOO22 HPA18:HPA22 HPM18:HPM22 HPY18:HPY22 HQK18:HQK22 HQW18:HQW22 HRI18:HRI22 HRU18:HRU22 HSG18:HSG22 HSS18:HSS22 HTE18:HTE22 HTQ18:HTQ22 HUC18:HUC22 HUO18:HUO22 HVA18:HVA22 HVM18:HVM22 HVY18:HVY22 HWK18:HWK22 HWW18:HWW22 HXI18:HXI22 HXU18:HXU22 HYG18:HYG22 HYS18:HYS22 HZE18:HZE22 HZQ18:HZQ22 IAC18:IAC22 IAO18:IAO22 IBA18:IBA22 IBM18:IBM22 IBY18:IBY22 ICK18:ICK22 ICW18:ICW22 IDI18:IDI22 IDU18:IDU22 IEG18:IEG22 IES18:IES22 IFE18:IFE22 IFQ18:IFQ22 IGC18:IGC22 IGO18:IGO22 IHA18:IHA22 IHM18:IHM22 IHY18:IHY22 IIK18:IIK22 IIW18:IIW22 IJI18:IJI22 IJU18:IJU22 IKG18:IKG22 IKS18:IKS22 ILE18:ILE22 ILQ18:ILQ22 IMC18:IMC22 IMO18:IMO22 INA18:INA22 INM18:INM22 INY18:INY22 IOK18:IOK22 IOW18:IOW22 IPI18:IPI22 IPU18:IPU22 IQG18:IQG22 IQS18:IQS22 IRE18:IRE22 IRQ18:IRQ22 ISC18:ISC22 ISO18:ISO22 ITA18:ITA22 ITM18:ITM22 ITY18:ITY22 IUK18:IUK22 IUW18:IUW22 IVI18:IVI22 IVU18:IVU22 IWG18:IWG22 IWS18:IWS22 IXE18:IXE22 IXQ18:IXQ22 IYC18:IYC22 IYO18:IYO22 IZA18:IZA22 IZM18:IZM22 IZY18:IZY22 JAK18:JAK22 JAW18:JAW22 JBI18:JBI22 JBU18:JBU22 JCG18:JCG22 JCS18:JCS22 JDE18:JDE22 JDQ18:JDQ22 JEC18:JEC22 JEO18:JEO22 JFA18:JFA22 JFM18:JFM22 JFY18:JFY22 JGK18:JGK22 JGW18:JGW22 JHI18:JHI22 JHU18:JHU22 JIG18:JIG22 JIS18:JIS22 JJE18:JJE22 JJQ18:JJQ22 JKC18:JKC22 JKO18:JKO22 JLA18:JLA22 JLM18:JLM22 JLY18:JLY22 JMK18:JMK22 JMW18:JMW22 JNI18:JNI22 JNU18:JNU22 JOG18:JOG22 JOS18:JOS22 JPE18:JPE22 JPQ18:JPQ22 JQC18:JQC22 JQO18:JQO22 JRA18:JRA22 JRM18:JRM22 JRY18:JRY22 JSK18:JSK22 JSW18:JSW22 JTI18:JTI22 JTU18:JTU22 JUG18:JUG22 JUS18:JUS22 JVE18:JVE22 JVQ18:JVQ22 JWC18:JWC22 JWO18:JWO22 JXA18:JXA22 JXM18:JXM22 JXY18:JXY22 JYK18:JYK22 JYW18:JYW22 JZI18:JZI22 JZU18:JZU22 KAG18:KAG22 KAS18:KAS22 KBE18:KBE22 KBQ18:KBQ22 KCC18:KCC22 KCO18:KCO22 KDA18:KDA22 KDM18:KDM22 KDY18:KDY22 KEK18:KEK22 KEW18:KEW22 KFI18:KFI22 KFU18:KFU22 KGG18:KGG22 KGS18:KGS22 KHE18:KHE22 KHQ18:KHQ22 KIC18:KIC22 KIO18:KIO22 KJA18:KJA22 KJM18:KJM22 KJY18:KJY22 KKK18:KKK22 KKW18:KKW22 KLI18:KLI22 KLU18:KLU22 KMG18:KMG22 KMS18:KMS22 KNE18:KNE22 KNQ18:KNQ22 KOC18:KOC22 KOO18:KOO22 KPA18:KPA22 KPM18:KPM22 KPY18:KPY22 KQK18:KQK22 KQW18:KQW22 KRI18:KRI22 KRU18:KRU22 KSG18:KSG22 KSS18:KSS22 KTE18:KTE22 KTQ18:KTQ22 KUC18:KUC22 KUO18:KUO22 KVA18:KVA22 KVM18:KVM22 KVY18:KVY22 KWK18:KWK22 KWW18:KWW22 KXI18:KXI22 KXU18:KXU22 KYG18:KYG22 KYS18:KYS22 KZE18:KZE22 KZQ18:KZQ22 LAC18:LAC22 LAO18:LAO22 LBA18:LBA22 LBM18:LBM22 LBY18:LBY22 LCK18:LCK22 LCW18:LCW22 LDI18:LDI22 LDU18:LDU22 LEG18:LEG22 LES18:LES22 LFE18:LFE22 LFQ18:LFQ22 LGC18:LGC22 LGO18:LGO22 LHA18:LHA22 LHM18:LHM22 LHY18:LHY22 LIK18:LIK22 LIW18:LIW22 LJI18:LJI22 LJU18:LJU22 LKG18:LKG22 LKS18:LKS22 LLE18:LLE22 LLQ18:LLQ22 LMC18:LMC22 LMO18:LMO22 LNA18:LNA22 LNM18:LNM22 LNY18:LNY22 LOK18:LOK22 LOW18:LOW22 LPI18:LPI22 LPU18:LPU22 LQG18:LQG22 LQS18:LQS22 LRE18:LRE22 LRQ18:LRQ22 LSC18:LSC22 LSO18:LSO22 LTA18:LTA22 LTM18:LTM22 LTY18:LTY22 LUK18:LUK22 LUW18:LUW22 LVI18:LVI22 LVU18:LVU22 LWG18:LWG22 LWS18:LWS22 LXE18:LXE22 LXQ18:LXQ22 LYC18:LYC22 LYO18:LYO22 LZA18:LZA22 LZM18:LZM22 LZY18:LZY22 MAK18:MAK22 MAW18:MAW22 MBI18:MBI22 MBU18:MBU22 MCG18:MCG22 MCS18:MCS22 MDE18:MDE22 MDQ18:MDQ22 MEC18:MEC22 MEO18:MEO22 MFA18:MFA22 MFM18:MFM22 MFY18:MFY22 MGK18:MGK22 MGW18:MGW22 MHI18:MHI22 MHU18:MHU22 MIG18:MIG22 MIS18:MIS22 MJE18:MJE22 MJQ18:MJQ22 MKC18:MKC22 MKO18:MKO22 MLA18:MLA22 MLM18:MLM22 MLY18:MLY22 MMK18:MMK22 MMW18:MMW22 MNI18:MNI22 MNU18:MNU22 MOG18:MOG22 MOS18:MOS22 MPE18:MPE22 MPQ18:MPQ22 MQC18:MQC22 MQO18:MQO22 MRA18:MRA22 MRM18:MRM22 MRY18:MRY22 MSK18:MSK22 MSW18:MSW22 MTI18:MTI22 MTU18:MTU22 MUG18:MUG22 MUS18:MUS22 MVE18:MVE22 MVQ18:MVQ22 MWC18:MWC22 MWO18:MWO22 MXA18:MXA22 MXM18:MXM22 MXY18:MXY22 MYK18:MYK22 MYW18:MYW22 MZI18:MZI22 MZU18:MZU22 NAG18:NAG22 NAS18:NAS22 NBE18:NBE22 NBQ18:NBQ22 NCC18:NCC22 NCO18:NCO22 NDA18:NDA22 NDM18:NDM22 NDY18:NDY22 NEK18:NEK22 NEW18:NEW22 NFI18:NFI22 NFU18:NFU22 NGG18:NGG22 NGS18:NGS22 NHE18:NHE22 NHQ18:NHQ22 NIC18:NIC22 NIO18:NIO22 NJA18:NJA22 NJM18:NJM22 NJY18:NJY22 NKK18:NKK22 NKW18:NKW22 NLI18:NLI22 NLU18:NLU22 NMG18:NMG22 NMS18:NMS22 NNE18:NNE22 NNQ18:NNQ22 NOC18:NOC22 NOO18:NOO22 NPA18:NPA22 NPM18:NPM22 NPY18:NPY22 NQK18:NQK22 NQW18:NQW22 NRI18:NRI22 NRU18:NRU22 NSG18:NSG22 NSS18:NSS22 NTE18:NTE22 NTQ18:NTQ22 NUC18:NUC22 NUO18:NUO22 NVA18:NVA22 NVM18:NVM22 NVY18:NVY22 NWK18:NWK22 NWW18:NWW22 NXI18:NXI22 NXU18:NXU22 NYG18:NYG22 NYS18:NYS22 NZE18:NZE22 NZQ18:NZQ22 OAC18:OAC22 OAO18:OAO22 OBA18:OBA22 OBM18:OBM22 OBY18:OBY22 OCK18:OCK22 OCW18:OCW22 ODI18:ODI22 ODU18:ODU22 OEG18:OEG22 OES18:OES22 OFE18:OFE22 OFQ18:OFQ22 OGC18:OGC22 OGO18:OGO22 OHA18:OHA22 OHM18:OHM22 OHY18:OHY22 OIK18:OIK22 OIW18:OIW22 OJI18:OJI22 OJU18:OJU22 OKG18:OKG22 OKS18:OKS22 OLE18:OLE22 OLQ18:OLQ22 OMC18:OMC22 OMO18:OMO22 ONA18:ONA22 ONM18:ONM22 ONY18:ONY22 OOK18:OOK22 OOW18:OOW22 OPI18:OPI22 OPU18:OPU22 OQG18:OQG22 OQS18:OQS22 ORE18:ORE22 ORQ18:ORQ22 OSC18:OSC22 OSO18:OSO22 OTA18:OTA22 OTM18:OTM22 OTY18:OTY22 OUK18:OUK22 OUW18:OUW22 OVI18:OVI22 OVU18:OVU22 OWG18:OWG22 OWS18:OWS22 OXE18:OXE22 OXQ18:OXQ22 OYC18:OYC22 OYO18:OYO22 OZA18:OZA22 OZM18:OZM22 OZY18:OZY22 PAK18:PAK22 PAW18:PAW22 PBI18:PBI22 PBU18:PBU22 PCG18:PCG22 PCS18:PCS22 PDE18:PDE22 PDQ18:PDQ22 PEC18:PEC22 PEO18:PEO22 PFA18:PFA22 PFM18:PFM22 PFY18:PFY22 PGK18:PGK22 PGW18:PGW22 PHI18:PHI22 PHU18:PHU22 PIG18:PIG22 PIS18:PIS22 PJE18:PJE22 PJQ18:PJQ22 PKC18:PKC22 PKO18:PKO22 PLA18:PLA22 PLM18:PLM22 PLY18:PLY22 PMK18:PMK22 PMW18:PMW22 PNI18:PNI22 PNU18:PNU22 POG18:POG22 POS18:POS22 PPE18:PPE22 PPQ18:PPQ22 PQC18:PQC22 PQO18:PQO22 PRA18:PRA22 PRM18:PRM22 PRY18:PRY22 PSK18:PSK22 PSW18:PSW22 PTI18:PTI22 PTU18:PTU22 PUG18:PUG22 PUS18:PUS22 PVE18:PVE22 PVQ18:PVQ22 PWC18:PWC22 PWO18:PWO22 PXA18:PXA22 PXM18:PXM22 PXY18:PXY22 PYK18:PYK22 PYW18:PYW22 PZI18:PZI22 PZU18:PZU22 QAG18:QAG22 QAS18:QAS22 QBE18:QBE22 QBQ18:QBQ22 QCC18:QCC22 QCO18:QCO22 QDA18:QDA22 QDM18:QDM22 QDY18:QDY22 QEK18:QEK22 QEW18:QEW22 QFI18:QFI22 QFU18:QFU22 QGG18:QGG22 QGS18:QGS22 QHE18:QHE22 QHQ18:QHQ22 QIC18:QIC22 QIO18:QIO22 QJA18:QJA22 QJM18:QJM22 QJY18:QJY22 QKK18:QKK22 QKW18:QKW22 QLI18:QLI22 QLU18:QLU22 QMG18:QMG22 QMS18:QMS22 QNE18:QNE22 QNQ18:QNQ22 QOC18:QOC22 QOO18:QOO22 QPA18:QPA22 QPM18:QPM22 QPY18:QPY22 QQK18:QQK22 QQW18:QQW22 QRI18:QRI22 QRU18:QRU22 QSG18:QSG22 QSS18:QSS22 QTE18:QTE22 QTQ18:QTQ22 QUC18:QUC22 QUO18:QUO22 QVA18:QVA22 QVM18:QVM22 QVY18:QVY22 QWK18:QWK22 QWW18:QWW22 QXI18:QXI22 QXU18:QXU22 QYG18:QYG22 QYS18:QYS22 QZE18:QZE22 QZQ18:QZQ22 RAC18:RAC22 RAO18:RAO22 RBA18:RBA22 RBM18:RBM22 RBY18:RBY22 RCK18:RCK22 RCW18:RCW22 RDI18:RDI22 RDU18:RDU22 REG18:REG22 RES18:RES22 RFE18:RFE22 RFQ18:RFQ22 RGC18:RGC22 RGO18:RGO22 RHA18:RHA22 RHM18:RHM22 RHY18:RHY22 RIK18:RIK22 RIW18:RIW22 RJI18:RJI22 RJU18:RJU22 RKG18:RKG22 RKS18:RKS22 RLE18:RLE22 RLQ18:RLQ22 RMC18:RMC22 RMO18:RMO22 RNA18:RNA22 RNM18:RNM22 RNY18:RNY22 ROK18:ROK22 ROW18:ROW22 RPI18:RPI22 RPU18:RPU22 RQG18:RQG22 RQS18:RQS22 RRE18:RRE22 RRQ18:RRQ22 RSC18:RSC22 RSO18:RSO22 RTA18:RTA22 RTM18:RTM22 RTY18:RTY22 RUK18:RUK22 RUW18:RUW22 RVI18:RVI22 RVU18:RVU22 RWG18:RWG22 RWS18:RWS22 RXE18:RXE22 RXQ18:RXQ22 RYC18:RYC22 RYO18:RYO22 RZA18:RZA22 RZM18:RZM22 RZY18:RZY22 SAK18:SAK22 SAW18:SAW22 SBI18:SBI22 SBU18:SBU22 SCG18:SCG22 SCS18:SCS22 SDE18:SDE22 SDQ18:SDQ22 SEC18:SEC22 SEO18:SEO22 SFA18:SFA22 SFM18:SFM22 SFY18:SFY22 SGK18:SGK22 SGW18:SGW22 SHI18:SHI22 SHU18:SHU22 SIG18:SIG22 SIS18:SIS22 SJE18:SJE22 SJQ18:SJQ22 SKC18:SKC22 SKO18:SKO22 SLA18:SLA22 SLM18:SLM22 SLY18:SLY22 SMK18:SMK22 SMW18:SMW22 SNI18:SNI22 SNU18:SNU22 SOG18:SOG22 SOS18:SOS22 SPE18:SPE22 SPQ18:SPQ22 SQC18:SQC22 SQO18:SQO22 SRA18:SRA22 SRM18:SRM22 SRY18:SRY22 SSK18:SSK22 SSW18:SSW22 STI18:STI22 STU18:STU22 SUG18:SUG22 SUS18:SUS22 SVE18:SVE22 SVQ18:SVQ22 SWC18:SWC22 SWO18:SWO22 SXA18:SXA22 SXM18:SXM22 SXY18:SXY22 SYK18:SYK22 SYW18:SYW22 SZI18:SZI22 SZU18:SZU22 TAG18:TAG22 TAS18:TAS22 TBE18:TBE22 TBQ18:TBQ22 TCC18:TCC22 TCO18:TCO22 TDA18:TDA22 TDM18:TDM22 TDY18:TDY22 TEK18:TEK22 TEW18:TEW22 TFI18:TFI22 TFU18:TFU22 TGG18:TGG22 TGS18:TGS22 THE18:THE22 THQ18:THQ22 TIC18:TIC22 TIO18:TIO22 TJA18:TJA22 TJM18:TJM22 TJY18:TJY22 TKK18:TKK22 TKW18:TKW22 TLI18:TLI22 TLU18:TLU22 TMG18:TMG22 TMS18:TMS22 TNE18:TNE22 TNQ18:TNQ22 TOC18:TOC22 TOO18:TOO22 TPA18:TPA22 TPM18:TPM22 TPY18:TPY22 TQK18:TQK22 TQW18:TQW22 TRI18:TRI22 TRU18:TRU22 TSG18:TSG22 TSS18:TSS22 TTE18:TTE22 TTQ18:TTQ22 TUC18:TUC22 TUO18:TUO22 TVA18:TVA22 TVM18:TVM22 TVY18:TVY22 TWK18:TWK22 TWW18:TWW22 TXI18:TXI22 TXU18:TXU22 TYG18:TYG22 TYS18:TYS22 TZE18:TZE22 TZQ18:TZQ22 UAC18:UAC22 UAO18:UAO22 UBA18:UBA22 UBM18:UBM22 UBY18:UBY22 UCK18:UCK22 UCW18:UCW22 UDI18:UDI22 UDU18:UDU22 UEG18:UEG22 UES18:UES22 UFE18:UFE22 UFQ18:UFQ22 UGC18:UGC22 UGO18:UGO22 UHA18:UHA22 UHM18:UHM22 UHY18:UHY22 UIK18:UIK22 UIW18:UIW22 UJI18:UJI22 UJU18:UJU22 UKG18:UKG22 UKS18:UKS22 ULE18:ULE22 ULQ18:ULQ22 UMC18:UMC22 UMO18:UMO22 UNA18:UNA22 UNM18:UNM22 UNY18:UNY22 UOK18:UOK22 UOW18:UOW22 UPI18:UPI22 UPU18:UPU22 UQG18:UQG22 UQS18:UQS22 URE18:URE22 URQ18:URQ22 USC18:USC22 USO18:USO22 UTA18:UTA22 UTM18:UTM22 UTY18:UTY22 UUK18:UUK22 UUW18:UUW22 UVI18:UVI22 UVU18:UVU22 UWG18:UWG22 UWS18:UWS22 UXE18:UXE22 UXQ18:UXQ22 UYC18:UYC22 UYO18:UYO22 UZA18:UZA22 UZM18:UZM22 UZY18:UZY22 VAK18:VAK22 VAW18:VAW22 VBI18:VBI22 VBU18:VBU22 VCG18:VCG22 VCS18:VCS22 VDE18:VDE22 VDQ18:VDQ22 VEC18:VEC22 VEO18:VEO22 VFA18:VFA22 VFM18:VFM22 VFY18:VFY22 VGK18:VGK22 VGW18:VGW22 VHI18:VHI22 VHU18:VHU22 VIG18:VIG22 VIS18:VIS22 VJE18:VJE22 VJQ18:VJQ22 VKC18:VKC22 VKO18:VKO22 VLA18:VLA22 VLM18:VLM22 VLY18:VLY22 VMK18:VMK22 VMW18:VMW22 VNI18:VNI22 VNU18:VNU22 VOG18:VOG22 VOS18:VOS22 VPE18:VPE22 VPQ18:VPQ22 VQC18:VQC22 VQO18:VQO22 VRA18:VRA22 VRM18:VRM22 VRY18:VRY22 VSK18:VSK22 VSW18:VSW22 VTI18:VTI22 VTU18:VTU22 VUG18:VUG22 VUS18:VUS22 VVE18:VVE22 VVQ18:VVQ22 VWC18:VWC22 VWO18:VWO22 VXA18:VXA22 VXM18:VXM22 VXY18:VXY22 VYK18:VYK22 VYW18:VYW22 VZI18:VZI22 VZU18:VZU22 WAG18:WAG22 WAS18:WAS22 WBE18:WBE22 WBQ18:WBQ22 WCC18:WCC22 WCO18:WCO22 WDA18:WDA22 WDM18:WDM22 WDY18:WDY22 WEK18:WEK22 WEW18:WEW22 WFI18:WFI22 WFU18:WFU22 WGG18:WGG22 WGS18:WGS22 WHE18:WHE22 WHQ18:WHQ22 WIC18:WIC22 WIO18:WIO22 WJA18:WJA22 WJM18:WJM22 WJY18:WJY22 WKK18:WKK22 WKW18:WKW22 WLI18:WLI22 WLU18:WLU22 WMG18:WMG22 WMS18:WMS22 WNE18:WNE22 WNQ18:WNQ22 WOC18:WOC22 WOO18:WOO22 WPA18:WPA22 WPM18:WPM22 WPY18:WPY22 WQK18:WQK22 WQW18:WQW22 WRI18:WRI22 WRU18:WRU22 WSG18:WSG22 WSS18:WSS22 WTE18:WTE22 WTQ18:WTQ22 WUC18:WUC22 WUO18:WUO22 WVA18:WVA22 WVM18:WVM22 WVY18:WVY22 WWK18:WWK22 WWW18:WWW22 WXI18:WXI22 WXU18:WXU22 WYG18:WYG22 WYS18:WYS22 WZE18:WZE22 WZQ18:WZQ22 XAC18:XAC22 XAO18:XAO22 XBA18:XBA22 XBM18:XBM22 XBY18:XBY22 XCK18:XCK22 XCW18:XCW22 XDI18:XDI22 XDU18:XDU22 XEG18:XEG22 XES18:XES22">
    <cfRule type="duplicateValues" dxfId="3061" priority="133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A5259-271F-4355-8C0F-F9466B1E0963}">
  <sheetPr codeName="Hoja7">
    <tabColor theme="9" tint="0.79998168889431442"/>
  </sheetPr>
  <dimension ref="A1:Q23"/>
  <sheetViews>
    <sheetView workbookViewId="0">
      <selection activeCell="J21" sqref="J21"/>
    </sheetView>
  </sheetViews>
  <sheetFormatPr defaultColWidth="11.42578125" defaultRowHeight="19.899999999999999" customHeight="1"/>
  <cols>
    <col min="1" max="1" width="11.7109375" bestFit="1" customWidth="1"/>
    <col min="2" max="2" width="12.85546875" style="103" customWidth="1"/>
    <col min="3" max="3" width="13.7109375" bestFit="1" customWidth="1"/>
    <col min="4" max="4" width="4.42578125" bestFit="1" customWidth="1"/>
    <col min="5" max="5" width="12.7109375" bestFit="1" customWidth="1"/>
    <col min="6" max="6" width="5.7109375" bestFit="1" customWidth="1"/>
    <col min="7" max="7" width="6.140625" customWidth="1"/>
    <col min="8" max="8" width="8.7109375" bestFit="1" customWidth="1"/>
    <col min="9" max="9" width="9.42578125" bestFit="1" customWidth="1"/>
    <col min="10" max="10" width="19.7109375" customWidth="1"/>
    <col min="11" max="12" width="12.140625" style="25" customWidth="1"/>
    <col min="13" max="13" width="11.42578125" style="44" customWidth="1"/>
    <col min="14" max="14" width="12.140625" style="25" customWidth="1"/>
    <col min="15" max="15" width="11.7109375" customWidth="1"/>
    <col min="16" max="16" width="11" bestFit="1" customWidth="1"/>
  </cols>
  <sheetData>
    <row r="1" spans="1:17" ht="19.899999999999999" customHeight="1">
      <c r="A1" s="41"/>
      <c r="B1" s="102"/>
      <c r="C1" s="41"/>
      <c r="D1" s="41"/>
      <c r="E1" s="41"/>
      <c r="F1" s="41"/>
      <c r="G1" s="41"/>
      <c r="H1" s="41"/>
      <c r="I1" s="41"/>
      <c r="J1" s="42"/>
      <c r="K1" s="43"/>
      <c r="L1" s="43"/>
      <c r="N1" s="95">
        <f>SUM(M3:M124)-SUM(Q4:Q124)</f>
        <v>19337</v>
      </c>
    </row>
    <row r="2" spans="1:17" ht="30" customHeight="1">
      <c r="A2" s="83" t="s">
        <v>45</v>
      </c>
      <c r="B2" s="83" t="s">
        <v>491</v>
      </c>
      <c r="C2" s="83" t="s">
        <v>47</v>
      </c>
      <c r="D2" s="83" t="s">
        <v>48</v>
      </c>
      <c r="E2" s="83" t="s">
        <v>49</v>
      </c>
      <c r="F2" s="83" t="s">
        <v>50</v>
      </c>
      <c r="G2" s="83" t="s">
        <v>51</v>
      </c>
      <c r="H2" s="83" t="s">
        <v>52</v>
      </c>
      <c r="I2" s="84" t="s">
        <v>53</v>
      </c>
      <c r="J2" s="83" t="s">
        <v>54</v>
      </c>
      <c r="K2" s="83" t="s">
        <v>58</v>
      </c>
      <c r="L2" s="27" t="s">
        <v>612</v>
      </c>
      <c r="M2" s="27" t="s">
        <v>55</v>
      </c>
      <c r="N2" s="83"/>
    </row>
    <row r="3" spans="1:17" ht="25.9" customHeight="1">
      <c r="A3" s="211" t="s">
        <v>613</v>
      </c>
      <c r="B3" s="211" t="s">
        <v>614</v>
      </c>
      <c r="C3" s="8" t="s">
        <v>615</v>
      </c>
      <c r="D3" s="7" t="s">
        <v>559</v>
      </c>
      <c r="E3" s="226" t="s">
        <v>616</v>
      </c>
      <c r="F3" s="9">
        <v>46042</v>
      </c>
      <c r="G3" s="9">
        <v>46064</v>
      </c>
      <c r="H3" s="226" t="s">
        <v>507</v>
      </c>
      <c r="I3" s="9" t="s">
        <v>240</v>
      </c>
      <c r="J3" s="227" t="s">
        <v>105</v>
      </c>
      <c r="K3" s="13">
        <v>1350</v>
      </c>
      <c r="L3" s="13">
        <v>0</v>
      </c>
      <c r="M3" s="13">
        <f>K3+L3</f>
        <v>1350</v>
      </c>
      <c r="N3" s="13">
        <v>0</v>
      </c>
      <c r="P3" s="132" t="s">
        <v>56</v>
      </c>
      <c r="Q3" s="133" t="s">
        <v>57</v>
      </c>
    </row>
    <row r="4" spans="1:17" ht="25.9" customHeight="1">
      <c r="A4" s="211" t="s">
        <v>617</v>
      </c>
      <c r="B4" s="211" t="s">
        <v>614</v>
      </c>
      <c r="C4" s="8" t="s">
        <v>615</v>
      </c>
      <c r="D4" s="7" t="s">
        <v>559</v>
      </c>
      <c r="E4" s="226" t="s">
        <v>618</v>
      </c>
      <c r="F4" s="9">
        <v>46049</v>
      </c>
      <c r="G4" s="9">
        <v>46077</v>
      </c>
      <c r="H4" s="226" t="s">
        <v>65</v>
      </c>
      <c r="I4" s="9" t="s">
        <v>510</v>
      </c>
      <c r="J4" s="227" t="s">
        <v>105</v>
      </c>
      <c r="K4" s="13">
        <v>1150</v>
      </c>
      <c r="L4" s="13">
        <v>0</v>
      </c>
      <c r="M4" s="13">
        <f>K4</f>
        <v>1150</v>
      </c>
      <c r="N4" s="13">
        <v>0</v>
      </c>
      <c r="P4" s="150">
        <v>46128</v>
      </c>
      <c r="Q4" s="152">
        <v>12250</v>
      </c>
    </row>
    <row r="5" spans="1:17" ht="25.9" customHeight="1">
      <c r="A5" s="211" t="s">
        <v>619</v>
      </c>
      <c r="B5" s="211" t="s">
        <v>614</v>
      </c>
      <c r="C5" s="8" t="s">
        <v>615</v>
      </c>
      <c r="D5" s="7" t="s">
        <v>559</v>
      </c>
      <c r="E5" s="226" t="s">
        <v>620</v>
      </c>
      <c r="F5" s="9">
        <v>46050</v>
      </c>
      <c r="G5" s="9">
        <v>46084</v>
      </c>
      <c r="H5" s="226" t="s">
        <v>89</v>
      </c>
      <c r="I5" s="9" t="s">
        <v>621</v>
      </c>
      <c r="J5" s="227" t="s">
        <v>105</v>
      </c>
      <c r="K5" s="13">
        <v>1330</v>
      </c>
      <c r="L5" s="13">
        <v>1150</v>
      </c>
      <c r="M5" s="13">
        <v>2500</v>
      </c>
      <c r="N5" s="13">
        <v>0</v>
      </c>
      <c r="P5" s="150">
        <v>46254</v>
      </c>
      <c r="Q5" s="152">
        <v>19963</v>
      </c>
    </row>
    <row r="6" spans="1:17" ht="25.9" customHeight="1">
      <c r="A6" s="211" t="s">
        <v>622</v>
      </c>
      <c r="B6" s="211" t="s">
        <v>614</v>
      </c>
      <c r="C6" s="8" t="s">
        <v>615</v>
      </c>
      <c r="D6" s="7" t="s">
        <v>559</v>
      </c>
      <c r="E6" s="226" t="s">
        <v>623</v>
      </c>
      <c r="F6" s="9">
        <v>46057</v>
      </c>
      <c r="G6" s="9">
        <v>46091</v>
      </c>
      <c r="H6" s="226" t="s">
        <v>89</v>
      </c>
      <c r="I6" s="9" t="s">
        <v>621</v>
      </c>
      <c r="J6" s="227" t="s">
        <v>105</v>
      </c>
      <c r="K6" s="13">
        <v>1330</v>
      </c>
      <c r="L6" s="13">
        <v>1150</v>
      </c>
      <c r="M6" s="13">
        <v>2500</v>
      </c>
      <c r="N6" s="13">
        <v>0</v>
      </c>
    </row>
    <row r="7" spans="1:17" ht="14.45">
      <c r="A7" s="211" t="s">
        <v>624</v>
      </c>
      <c r="B7" s="228" t="s">
        <v>614</v>
      </c>
      <c r="C7" s="8" t="s">
        <v>615</v>
      </c>
      <c r="D7" s="7" t="s">
        <v>559</v>
      </c>
      <c r="E7" s="7" t="s">
        <v>625</v>
      </c>
      <c r="F7" s="9">
        <v>46106</v>
      </c>
      <c r="G7" s="9">
        <v>46140</v>
      </c>
      <c r="H7" s="226" t="s">
        <v>89</v>
      </c>
      <c r="I7" s="9" t="s">
        <v>621</v>
      </c>
      <c r="J7" s="227" t="s">
        <v>105</v>
      </c>
      <c r="K7" s="13">
        <v>3600</v>
      </c>
      <c r="L7" s="13">
        <v>1150</v>
      </c>
      <c r="M7" s="12">
        <f>SUM(K7:L7)</f>
        <v>4750</v>
      </c>
      <c r="N7" s="13">
        <v>0</v>
      </c>
    </row>
    <row r="8" spans="1:17" ht="19.899999999999999" customHeight="1">
      <c r="A8" s="7" t="s">
        <v>626</v>
      </c>
      <c r="B8" s="344" t="s">
        <v>614</v>
      </c>
      <c r="C8" s="8" t="s">
        <v>615</v>
      </c>
      <c r="D8" s="7" t="s">
        <v>559</v>
      </c>
      <c r="E8" s="7" t="s">
        <v>627</v>
      </c>
      <c r="F8" s="9">
        <v>46162</v>
      </c>
      <c r="G8" s="9">
        <v>46196</v>
      </c>
      <c r="H8" s="7" t="s">
        <v>149</v>
      </c>
      <c r="I8" s="10" t="s">
        <v>621</v>
      </c>
      <c r="J8" s="227" t="s">
        <v>105</v>
      </c>
      <c r="K8" s="13">
        <v>4150</v>
      </c>
      <c r="L8" s="13">
        <v>1150</v>
      </c>
      <c r="M8" s="12">
        <f>SUM(K8:L8)</f>
        <v>5300</v>
      </c>
      <c r="N8" s="13">
        <v>0</v>
      </c>
    </row>
    <row r="9" spans="1:17" ht="19.899999999999999" customHeight="1">
      <c r="A9" s="7" t="s">
        <v>628</v>
      </c>
      <c r="B9" s="344" t="s">
        <v>614</v>
      </c>
      <c r="C9" s="8" t="s">
        <v>615</v>
      </c>
      <c r="D9" s="7" t="s">
        <v>559</v>
      </c>
      <c r="E9" s="7" t="s">
        <v>629</v>
      </c>
      <c r="F9" s="9">
        <v>46173</v>
      </c>
      <c r="G9" s="9">
        <v>46206</v>
      </c>
      <c r="H9" s="7" t="s">
        <v>65</v>
      </c>
      <c r="I9" s="10" t="s">
        <v>66</v>
      </c>
      <c r="J9" s="227" t="s">
        <v>105</v>
      </c>
      <c r="K9" s="13">
        <v>5350</v>
      </c>
      <c r="L9" s="13">
        <v>0</v>
      </c>
      <c r="M9" s="12">
        <f>SUM(K9:L9)</f>
        <v>5350</v>
      </c>
      <c r="N9" s="13">
        <v>0</v>
      </c>
    </row>
    <row r="10" spans="1:17" ht="19.899999999999999" customHeight="1">
      <c r="A10" s="7" t="s">
        <v>630</v>
      </c>
      <c r="B10" s="344" t="s">
        <v>614</v>
      </c>
      <c r="C10" s="8" t="s">
        <v>615</v>
      </c>
      <c r="D10" s="7" t="s">
        <v>559</v>
      </c>
      <c r="E10" s="7" t="s">
        <v>631</v>
      </c>
      <c r="F10" s="9">
        <v>46183</v>
      </c>
      <c r="G10" s="9">
        <v>46217</v>
      </c>
      <c r="H10" s="7" t="s">
        <v>89</v>
      </c>
      <c r="I10" s="10" t="s">
        <v>621</v>
      </c>
      <c r="J10" s="227" t="s">
        <v>105</v>
      </c>
      <c r="K10" s="13">
        <v>6300</v>
      </c>
      <c r="L10" s="13">
        <v>1150</v>
      </c>
      <c r="M10" s="12">
        <f>SUM(K10:L10)</f>
        <v>7450</v>
      </c>
      <c r="N10" s="13">
        <v>0</v>
      </c>
    </row>
    <row r="11" spans="1:17" ht="19.899999999999999" customHeight="1">
      <c r="A11" s="32" t="s">
        <v>632</v>
      </c>
      <c r="B11" s="190" t="s">
        <v>614</v>
      </c>
      <c r="C11" s="32" t="s">
        <v>615</v>
      </c>
      <c r="D11" s="32" t="s">
        <v>559</v>
      </c>
      <c r="E11" s="32" t="s">
        <v>633</v>
      </c>
      <c r="F11" s="34">
        <v>46183</v>
      </c>
      <c r="G11" s="105">
        <v>46218</v>
      </c>
      <c r="H11" s="32" t="s">
        <v>89</v>
      </c>
      <c r="I11" s="77" t="s">
        <v>240</v>
      </c>
      <c r="J11" s="112" t="s">
        <v>105</v>
      </c>
      <c r="K11" s="113">
        <v>6250</v>
      </c>
      <c r="L11" s="113">
        <v>0</v>
      </c>
      <c r="M11" s="81">
        <f>SUM(K11:L11)</f>
        <v>6250</v>
      </c>
      <c r="N11" s="113">
        <v>4386.95</v>
      </c>
    </row>
    <row r="12" spans="1:17" ht="19.899999999999999" customHeight="1">
      <c r="A12" s="32" t="s">
        <v>634</v>
      </c>
      <c r="B12" s="190" t="s">
        <v>614</v>
      </c>
      <c r="C12" s="32" t="s">
        <v>615</v>
      </c>
      <c r="D12" s="32" t="s">
        <v>559</v>
      </c>
      <c r="E12" s="32" t="s">
        <v>635</v>
      </c>
      <c r="F12" s="34">
        <v>46259</v>
      </c>
      <c r="G12" s="105">
        <v>46291</v>
      </c>
      <c r="H12" s="32" t="s">
        <v>84</v>
      </c>
      <c r="I12" s="77" t="s">
        <v>66</v>
      </c>
      <c r="J12" s="112" t="s">
        <v>105</v>
      </c>
      <c r="K12" s="113">
        <v>7600</v>
      </c>
      <c r="L12" s="113">
        <v>0</v>
      </c>
      <c r="M12" s="81">
        <f t="shared" ref="M12:N13" si="0">SUM(K12:L12)</f>
        <v>7600</v>
      </c>
      <c r="N12" s="81">
        <f t="shared" si="0"/>
        <v>7600</v>
      </c>
    </row>
    <row r="13" spans="1:17" ht="19.899999999999999" customHeight="1">
      <c r="A13" s="32" t="s">
        <v>636</v>
      </c>
      <c r="B13" s="190" t="s">
        <v>614</v>
      </c>
      <c r="C13" s="32" t="s">
        <v>615</v>
      </c>
      <c r="D13" s="32" t="s">
        <v>559</v>
      </c>
      <c r="E13" s="32" t="s">
        <v>637</v>
      </c>
      <c r="F13" s="34">
        <v>46255</v>
      </c>
      <c r="G13" s="105">
        <v>46289</v>
      </c>
      <c r="H13" s="32" t="s">
        <v>89</v>
      </c>
      <c r="I13" s="77" t="s">
        <v>510</v>
      </c>
      <c r="J13" s="112" t="s">
        <v>105</v>
      </c>
      <c r="K13" s="113">
        <v>7350</v>
      </c>
      <c r="L13" s="113">
        <v>0</v>
      </c>
      <c r="M13" s="113">
        <f t="shared" si="0"/>
        <v>7350</v>
      </c>
      <c r="N13" s="113">
        <f t="shared" si="0"/>
        <v>7350</v>
      </c>
    </row>
    <row r="14" spans="1:17" ht="19.899999999999999" customHeight="1">
      <c r="A14" s="32"/>
      <c r="B14" s="190"/>
      <c r="C14" s="32"/>
      <c r="D14" s="32"/>
      <c r="E14" s="32"/>
      <c r="F14" s="34"/>
      <c r="G14" s="105"/>
      <c r="H14" s="32"/>
      <c r="I14" s="77"/>
      <c r="J14" s="112"/>
      <c r="K14" s="113"/>
      <c r="L14" s="113"/>
      <c r="M14" s="113"/>
      <c r="N14" s="113"/>
    </row>
    <row r="15" spans="1:17" ht="19.899999999999999" customHeight="1">
      <c r="A15" s="32"/>
      <c r="B15" s="190"/>
      <c r="C15" s="32"/>
      <c r="D15" s="32"/>
      <c r="E15" s="32"/>
      <c r="F15" s="34"/>
      <c r="G15" s="105"/>
      <c r="H15" s="32"/>
      <c r="I15" s="77"/>
      <c r="J15" s="112"/>
      <c r="K15" s="113"/>
      <c r="L15" s="113"/>
      <c r="M15" s="113"/>
      <c r="N15" s="113"/>
    </row>
    <row r="16" spans="1:17" ht="19.899999999999999" customHeight="1">
      <c r="A16" s="32"/>
      <c r="B16" s="190"/>
      <c r="C16" s="32"/>
      <c r="D16" s="32"/>
      <c r="E16" s="32"/>
      <c r="F16" s="34"/>
      <c r="G16" s="105"/>
      <c r="H16" s="32"/>
      <c r="I16" s="77"/>
      <c r="J16" s="112"/>
      <c r="K16" s="113"/>
      <c r="L16" s="113"/>
      <c r="M16" s="113"/>
      <c r="N16" s="113"/>
    </row>
    <row r="17" spans="1:14" ht="19.899999999999999" customHeight="1">
      <c r="A17" s="32"/>
      <c r="B17" s="190"/>
      <c r="C17" s="32"/>
      <c r="D17" s="32"/>
      <c r="E17" s="32"/>
      <c r="F17" s="34"/>
      <c r="G17" s="105"/>
      <c r="H17" s="32"/>
      <c r="I17" s="77"/>
      <c r="J17" s="112"/>
      <c r="K17" s="113"/>
      <c r="L17" s="113"/>
      <c r="M17" s="113"/>
      <c r="N17" s="113"/>
    </row>
    <row r="18" spans="1:14" ht="19.899999999999999" customHeight="1">
      <c r="A18" s="32"/>
      <c r="B18" s="190"/>
      <c r="C18" s="32"/>
      <c r="D18" s="32"/>
      <c r="E18" s="32"/>
      <c r="F18" s="34"/>
      <c r="G18" s="105"/>
      <c r="H18" s="32"/>
      <c r="I18" s="77"/>
      <c r="J18" s="112"/>
      <c r="K18" s="113"/>
      <c r="L18" s="113"/>
      <c r="M18" s="113"/>
      <c r="N18" s="113"/>
    </row>
    <row r="19" spans="1:14" ht="19.899999999999999" customHeight="1">
      <c r="A19" s="32"/>
      <c r="B19" s="190"/>
      <c r="C19" s="32"/>
      <c r="D19" s="32"/>
      <c r="E19" s="32"/>
      <c r="F19" s="34"/>
      <c r="G19" s="105"/>
      <c r="H19" s="32"/>
      <c r="I19" s="77"/>
      <c r="J19" s="112"/>
      <c r="K19" s="113"/>
      <c r="L19" s="113"/>
      <c r="M19" s="113"/>
      <c r="N19" s="113"/>
    </row>
    <row r="20" spans="1:14" ht="19.899999999999999" customHeight="1">
      <c r="A20" s="32"/>
      <c r="B20" s="190"/>
      <c r="C20" s="32"/>
      <c r="D20" s="32"/>
      <c r="E20" s="32"/>
      <c r="F20" s="34"/>
      <c r="G20" s="105"/>
      <c r="H20" s="32"/>
      <c r="I20" s="77"/>
      <c r="J20" s="112"/>
      <c r="K20" s="113"/>
      <c r="L20" s="113"/>
      <c r="M20" s="113"/>
      <c r="N20" s="113"/>
    </row>
    <row r="21" spans="1:14" ht="19.899999999999999" customHeight="1">
      <c r="A21" s="32"/>
      <c r="B21" s="190"/>
      <c r="C21" s="32"/>
      <c r="D21" s="32"/>
      <c r="E21" s="32"/>
      <c r="F21" s="34"/>
      <c r="G21" s="34"/>
      <c r="H21" s="77"/>
      <c r="I21" s="112"/>
      <c r="J21" s="113"/>
      <c r="K21" s="113"/>
      <c r="L21" s="113"/>
      <c r="M21" s="113"/>
      <c r="N21" s="113"/>
    </row>
    <row r="22" spans="1:14" ht="19.899999999999999" customHeight="1">
      <c r="A22" s="32"/>
      <c r="B22" s="190"/>
      <c r="C22" s="32"/>
      <c r="D22" s="32"/>
      <c r="E22" s="32"/>
      <c r="F22" s="34"/>
      <c r="G22" s="34"/>
      <c r="H22" s="77"/>
      <c r="I22" s="112"/>
      <c r="J22" s="113"/>
      <c r="K22" s="113"/>
      <c r="L22" s="113"/>
      <c r="M22" s="113"/>
      <c r="N22" s="113"/>
    </row>
    <row r="23" spans="1:14" ht="19.899999999999999" customHeight="1">
      <c r="A23" s="32"/>
      <c r="B23" s="190"/>
      <c r="C23" s="32"/>
      <c r="D23" s="32"/>
      <c r="E23" s="32"/>
      <c r="F23" s="34"/>
      <c r="G23" s="34"/>
      <c r="H23" s="77"/>
      <c r="I23" s="112"/>
      <c r="J23" s="113"/>
      <c r="K23" s="113"/>
      <c r="L23" s="113"/>
      <c r="M23" s="113"/>
      <c r="N23" s="113"/>
    </row>
  </sheetData>
  <conditionalFormatting sqref="A21">
    <cfRule type="duplicateValues" dxfId="3060" priority="8"/>
    <cfRule type="duplicateValues" dxfId="3059" priority="10"/>
    <cfRule type="duplicateValues" dxfId="3058" priority="11"/>
  </conditionalFormatting>
  <conditionalFormatting sqref="A22:A23">
    <cfRule type="duplicateValues" dxfId="3057" priority="12"/>
    <cfRule type="duplicateValues" dxfId="3056" priority="14"/>
    <cfRule type="duplicateValues" dxfId="3055" priority="15"/>
  </conditionalFormatting>
  <conditionalFormatting sqref="A24:A1048576 A1:A20">
    <cfRule type="duplicateValues" dxfId="3054" priority="16"/>
    <cfRule type="duplicateValues" dxfId="3053" priority="417"/>
    <cfRule type="duplicateValues" dxfId="3052" priority="418"/>
  </conditionalFormatting>
  <conditionalFormatting sqref="E1:E6 A1:A1048576 E8:E1048576">
    <cfRule type="duplicateValues" dxfId="3051" priority="7"/>
  </conditionalFormatting>
  <conditionalFormatting sqref="E21">
    <cfRule type="duplicateValues" dxfId="3050" priority="9"/>
  </conditionalFormatting>
  <conditionalFormatting sqref="E22:E23">
    <cfRule type="duplicateValues" dxfId="3049" priority="13"/>
  </conditionalFormatting>
  <conditionalFormatting sqref="E24:E1048576 E1:E6 E8:E20">
    <cfRule type="duplicateValues" dxfId="3048" priority="42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63CF4-1F38-4D86-A000-A8E8BFC92F68}">
  <sheetPr codeName="Hoja8">
    <tabColor rgb="FFFF0000"/>
  </sheetPr>
  <dimension ref="A1:S57"/>
  <sheetViews>
    <sheetView workbookViewId="0">
      <selection activeCell="A18" sqref="A18:XFD18"/>
    </sheetView>
  </sheetViews>
  <sheetFormatPr defaultColWidth="11.42578125" defaultRowHeight="14.45"/>
  <cols>
    <col min="1" max="1" width="9.7109375" bestFit="1" customWidth="1"/>
    <col min="2" max="2" width="13.7109375" bestFit="1" customWidth="1"/>
    <col min="3" max="3" width="13.42578125" bestFit="1" customWidth="1"/>
    <col min="4" max="4" width="4.42578125" bestFit="1" customWidth="1"/>
    <col min="5" max="5" width="13.140625" bestFit="1" customWidth="1"/>
    <col min="6" max="6" width="4.7109375" bestFit="1" customWidth="1"/>
    <col min="7" max="7" width="5.85546875" customWidth="1"/>
    <col min="8" max="9" width="9.42578125" bestFit="1" customWidth="1"/>
    <col min="10" max="10" width="18.42578125" bestFit="1" customWidth="1"/>
    <col min="11" max="12" width="9.42578125" style="45" customWidth="1"/>
    <col min="13" max="13" width="8.7109375" style="45" bestFit="1" customWidth="1"/>
    <col min="14" max="14" width="11.42578125" style="45"/>
    <col min="15" max="15" width="9.7109375" style="1" bestFit="1" customWidth="1"/>
    <col min="16" max="16" width="13" style="1" bestFit="1" customWidth="1"/>
  </cols>
  <sheetData>
    <row r="1" spans="1:19" ht="18">
      <c r="O1" s="45"/>
      <c r="P1" s="97">
        <f>SUM(O3:O118)-SUM(S4:S5)</f>
        <v>40680</v>
      </c>
    </row>
    <row r="2" spans="1:19" s="50" customFormat="1" ht="28.9">
      <c r="A2" s="46" t="s">
        <v>45</v>
      </c>
      <c r="B2" s="46" t="s">
        <v>46</v>
      </c>
      <c r="C2" s="46" t="s">
        <v>47</v>
      </c>
      <c r="D2" s="46" t="s">
        <v>48</v>
      </c>
      <c r="E2" s="46" t="s">
        <v>49</v>
      </c>
      <c r="F2" s="46" t="s">
        <v>50</v>
      </c>
      <c r="G2" s="46" t="s">
        <v>51</v>
      </c>
      <c r="H2" s="46" t="s">
        <v>52</v>
      </c>
      <c r="I2" s="47" t="s">
        <v>53</v>
      </c>
      <c r="J2" s="46" t="s">
        <v>54</v>
      </c>
      <c r="K2" s="46" t="s">
        <v>58</v>
      </c>
      <c r="L2" s="48" t="s">
        <v>556</v>
      </c>
      <c r="M2" s="66" t="s">
        <v>638</v>
      </c>
      <c r="N2" s="48" t="s">
        <v>639</v>
      </c>
      <c r="O2" s="49" t="s">
        <v>492</v>
      </c>
      <c r="P2" s="49"/>
    </row>
    <row r="3" spans="1:19" ht="15" customHeight="1">
      <c r="A3" s="398" t="s">
        <v>640</v>
      </c>
      <c r="B3" s="8" t="s">
        <v>641</v>
      </c>
      <c r="C3" s="340" t="s">
        <v>641</v>
      </c>
      <c r="D3" s="399" t="s">
        <v>559</v>
      </c>
      <c r="E3" s="340" t="s">
        <v>642</v>
      </c>
      <c r="F3" s="341">
        <v>46040</v>
      </c>
      <c r="G3" s="341">
        <v>46064</v>
      </c>
      <c r="H3" s="316" t="s">
        <v>507</v>
      </c>
      <c r="I3" s="400" t="s">
        <v>240</v>
      </c>
      <c r="J3" s="320" t="s">
        <v>105</v>
      </c>
      <c r="K3" s="12">
        <v>1350</v>
      </c>
      <c r="L3" s="12">
        <v>0</v>
      </c>
      <c r="M3" s="258">
        <v>180</v>
      </c>
      <c r="N3" s="12">
        <v>100</v>
      </c>
      <c r="O3" s="12">
        <f>SUM(K3:N3)</f>
        <v>1630</v>
      </c>
      <c r="P3" s="12">
        <v>0</v>
      </c>
      <c r="R3" s="132" t="s">
        <v>56</v>
      </c>
      <c r="S3" s="133" t="s">
        <v>57</v>
      </c>
    </row>
    <row r="4" spans="1:19" ht="15" customHeight="1">
      <c r="A4" s="398" t="s">
        <v>643</v>
      </c>
      <c r="B4" s="8" t="s">
        <v>641</v>
      </c>
      <c r="C4" s="340" t="s">
        <v>641</v>
      </c>
      <c r="D4" s="399" t="s">
        <v>559</v>
      </c>
      <c r="E4" s="340" t="s">
        <v>644</v>
      </c>
      <c r="F4" s="341">
        <v>46043</v>
      </c>
      <c r="G4" s="341">
        <v>46080</v>
      </c>
      <c r="H4" s="316" t="s">
        <v>149</v>
      </c>
      <c r="I4" s="400" t="s">
        <v>645</v>
      </c>
      <c r="J4" s="320" t="s">
        <v>105</v>
      </c>
      <c r="K4" s="12">
        <v>1250</v>
      </c>
      <c r="L4" s="12">
        <v>0</v>
      </c>
      <c r="M4" s="258">
        <v>180</v>
      </c>
      <c r="N4" s="12">
        <v>100</v>
      </c>
      <c r="O4" s="12">
        <f>SUM(K4:N4)</f>
        <v>1530</v>
      </c>
      <c r="P4" s="12">
        <v>0</v>
      </c>
      <c r="R4" s="150">
        <v>46301</v>
      </c>
      <c r="S4" s="152">
        <v>40000</v>
      </c>
    </row>
    <row r="5" spans="1:19" ht="15" customHeight="1">
      <c r="A5" s="398" t="s">
        <v>646</v>
      </c>
      <c r="B5" s="8" t="s">
        <v>641</v>
      </c>
      <c r="C5" s="340" t="s">
        <v>641</v>
      </c>
      <c r="D5" s="399" t="s">
        <v>559</v>
      </c>
      <c r="E5" s="340" t="s">
        <v>647</v>
      </c>
      <c r="F5" s="341">
        <v>46054</v>
      </c>
      <c r="G5" s="341">
        <v>46085</v>
      </c>
      <c r="H5" s="316" t="s">
        <v>507</v>
      </c>
      <c r="I5" s="400" t="s">
        <v>648</v>
      </c>
      <c r="J5" s="320" t="s">
        <v>105</v>
      </c>
      <c r="K5" s="12">
        <v>1450</v>
      </c>
      <c r="L5" s="12">
        <v>0</v>
      </c>
      <c r="M5" s="258">
        <v>180</v>
      </c>
      <c r="N5" s="12">
        <v>100</v>
      </c>
      <c r="O5" s="12">
        <f>SUM(K5:N5)</f>
        <v>1730</v>
      </c>
      <c r="P5" s="12">
        <v>0</v>
      </c>
      <c r="R5" s="150"/>
      <c r="S5" s="152"/>
    </row>
    <row r="6" spans="1:19">
      <c r="A6" s="398" t="s">
        <v>649</v>
      </c>
      <c r="B6" s="8" t="s">
        <v>641</v>
      </c>
      <c r="C6" s="340" t="s">
        <v>641</v>
      </c>
      <c r="D6" s="399" t="s">
        <v>559</v>
      </c>
      <c r="E6" s="340" t="s">
        <v>650</v>
      </c>
      <c r="F6" s="341">
        <v>46059</v>
      </c>
      <c r="G6" s="341">
        <v>46098</v>
      </c>
      <c r="H6" s="316" t="s">
        <v>89</v>
      </c>
      <c r="I6" s="400" t="s">
        <v>648</v>
      </c>
      <c r="J6" s="320" t="s">
        <v>105</v>
      </c>
      <c r="K6" s="12">
        <v>1350</v>
      </c>
      <c r="L6" s="12">
        <v>0</v>
      </c>
      <c r="M6" s="258">
        <v>180</v>
      </c>
      <c r="N6" s="12">
        <v>100</v>
      </c>
      <c r="O6" s="12">
        <f t="shared" ref="O6:O9" si="0">SUM(K6:N6)</f>
        <v>1630</v>
      </c>
      <c r="P6" s="12">
        <v>0</v>
      </c>
    </row>
    <row r="7" spans="1:19">
      <c r="A7" s="398" t="s">
        <v>651</v>
      </c>
      <c r="B7" s="8" t="s">
        <v>641</v>
      </c>
      <c r="C7" s="340" t="s">
        <v>641</v>
      </c>
      <c r="D7" s="399" t="s">
        <v>559</v>
      </c>
      <c r="E7" s="340" t="s">
        <v>652</v>
      </c>
      <c r="F7" s="341">
        <v>46066</v>
      </c>
      <c r="G7" s="341">
        <v>46098</v>
      </c>
      <c r="H7" s="316" t="s">
        <v>89</v>
      </c>
      <c r="I7" s="400" t="s">
        <v>648</v>
      </c>
      <c r="J7" s="320" t="s">
        <v>105</v>
      </c>
      <c r="K7" s="12">
        <v>2600</v>
      </c>
      <c r="L7" s="12">
        <v>0</v>
      </c>
      <c r="M7" s="258">
        <v>180</v>
      </c>
      <c r="N7" s="12">
        <v>100</v>
      </c>
      <c r="O7" s="12">
        <f t="shared" si="0"/>
        <v>2880</v>
      </c>
      <c r="P7" s="12">
        <v>0</v>
      </c>
    </row>
    <row r="8" spans="1:19">
      <c r="A8" s="401" t="s">
        <v>653</v>
      </c>
      <c r="B8" s="8" t="s">
        <v>641</v>
      </c>
      <c r="C8" s="8" t="s">
        <v>641</v>
      </c>
      <c r="D8" s="399" t="s">
        <v>559</v>
      </c>
      <c r="E8" s="7" t="s">
        <v>654</v>
      </c>
      <c r="F8" s="9">
        <v>46106</v>
      </c>
      <c r="G8" s="220">
        <v>46140</v>
      </c>
      <c r="H8" s="7" t="s">
        <v>89</v>
      </c>
      <c r="I8" s="10" t="s">
        <v>621</v>
      </c>
      <c r="J8" s="11" t="s">
        <v>105</v>
      </c>
      <c r="K8" s="12">
        <v>3500</v>
      </c>
      <c r="L8" s="12">
        <v>0</v>
      </c>
      <c r="M8" s="258">
        <v>180</v>
      </c>
      <c r="N8" s="12">
        <v>100</v>
      </c>
      <c r="O8" s="12">
        <f t="shared" si="0"/>
        <v>3780</v>
      </c>
      <c r="P8" s="12">
        <v>0</v>
      </c>
    </row>
    <row r="9" spans="1:19">
      <c r="A9" s="401" t="s">
        <v>655</v>
      </c>
      <c r="B9" s="8" t="s">
        <v>641</v>
      </c>
      <c r="C9" s="8" t="s">
        <v>641</v>
      </c>
      <c r="D9" s="399" t="s">
        <v>559</v>
      </c>
      <c r="E9" s="7" t="s">
        <v>656</v>
      </c>
      <c r="F9" s="9">
        <v>46110</v>
      </c>
      <c r="G9" s="9">
        <v>46134</v>
      </c>
      <c r="H9" s="7" t="s">
        <v>507</v>
      </c>
      <c r="I9" s="10" t="s">
        <v>648</v>
      </c>
      <c r="J9" s="11" t="s">
        <v>105</v>
      </c>
      <c r="K9" s="12">
        <v>3150</v>
      </c>
      <c r="L9" s="12">
        <v>0</v>
      </c>
      <c r="M9" s="258">
        <v>180</v>
      </c>
      <c r="N9" s="12">
        <v>100</v>
      </c>
      <c r="O9" s="12">
        <f t="shared" si="0"/>
        <v>3430</v>
      </c>
      <c r="P9" s="12">
        <v>0</v>
      </c>
    </row>
    <row r="10" spans="1:19" ht="24">
      <c r="A10" s="401" t="s">
        <v>657</v>
      </c>
      <c r="B10" s="8" t="s">
        <v>641</v>
      </c>
      <c r="C10" s="8" t="s">
        <v>641</v>
      </c>
      <c r="D10" s="402" t="s">
        <v>559</v>
      </c>
      <c r="E10" s="7" t="s">
        <v>658</v>
      </c>
      <c r="F10" s="9">
        <v>46134</v>
      </c>
      <c r="G10" s="9">
        <v>46166</v>
      </c>
      <c r="H10" s="7" t="s">
        <v>89</v>
      </c>
      <c r="I10" s="10" t="s">
        <v>645</v>
      </c>
      <c r="J10" s="11" t="s">
        <v>603</v>
      </c>
      <c r="K10" s="12">
        <v>3100</v>
      </c>
      <c r="L10" s="12">
        <v>1700</v>
      </c>
      <c r="M10" s="258">
        <v>180</v>
      </c>
      <c r="N10" s="12">
        <v>100</v>
      </c>
      <c r="O10" s="12">
        <f t="shared" ref="O10" si="1">SUM(K10:N10)</f>
        <v>5080</v>
      </c>
      <c r="P10" s="12">
        <v>0</v>
      </c>
    </row>
    <row r="11" spans="1:19" ht="24">
      <c r="A11" s="398" t="s">
        <v>659</v>
      </c>
      <c r="B11" s="8" t="s">
        <v>641</v>
      </c>
      <c r="C11" s="340" t="s">
        <v>641</v>
      </c>
      <c r="D11" s="340" t="s">
        <v>559</v>
      </c>
      <c r="E11" s="340" t="s">
        <v>660</v>
      </c>
      <c r="F11" s="341">
        <v>46148</v>
      </c>
      <c r="G11" s="341">
        <v>46180</v>
      </c>
      <c r="H11" s="316" t="s">
        <v>89</v>
      </c>
      <c r="I11" s="400" t="s">
        <v>645</v>
      </c>
      <c r="J11" s="320" t="s">
        <v>603</v>
      </c>
      <c r="K11" s="12">
        <v>3100</v>
      </c>
      <c r="L11" s="12">
        <v>1850</v>
      </c>
      <c r="M11" s="258">
        <v>180</v>
      </c>
      <c r="N11" s="12">
        <v>100</v>
      </c>
      <c r="O11" s="12">
        <f t="shared" ref="O11:O12" si="2">SUM(K11:N11)</f>
        <v>5230</v>
      </c>
      <c r="P11" s="12">
        <v>0</v>
      </c>
    </row>
    <row r="12" spans="1:19" ht="24">
      <c r="A12" s="398" t="s">
        <v>661</v>
      </c>
      <c r="B12" s="8" t="s">
        <v>641</v>
      </c>
      <c r="C12" s="340" t="s">
        <v>641</v>
      </c>
      <c r="D12" s="340" t="s">
        <v>559</v>
      </c>
      <c r="E12" s="340" t="s">
        <v>662</v>
      </c>
      <c r="F12" s="341">
        <v>46148</v>
      </c>
      <c r="G12" s="341">
        <v>46182</v>
      </c>
      <c r="H12" s="316" t="s">
        <v>89</v>
      </c>
      <c r="I12" s="400" t="s">
        <v>621</v>
      </c>
      <c r="J12" s="320" t="s">
        <v>603</v>
      </c>
      <c r="K12" s="12">
        <v>3100</v>
      </c>
      <c r="L12" s="12">
        <v>1850</v>
      </c>
      <c r="M12" s="258">
        <v>180</v>
      </c>
      <c r="N12" s="12">
        <v>100</v>
      </c>
      <c r="O12" s="12">
        <f t="shared" si="2"/>
        <v>5230</v>
      </c>
      <c r="P12" s="12">
        <v>0</v>
      </c>
      <c r="Q12" s="1"/>
      <c r="R12" s="45"/>
    </row>
    <row r="13" spans="1:19" ht="24">
      <c r="A13" s="398" t="s">
        <v>663</v>
      </c>
      <c r="B13" s="8" t="s">
        <v>641</v>
      </c>
      <c r="C13" s="340" t="s">
        <v>641</v>
      </c>
      <c r="D13" s="340" t="s">
        <v>559</v>
      </c>
      <c r="E13" s="340" t="s">
        <v>664</v>
      </c>
      <c r="F13" s="341">
        <v>46183</v>
      </c>
      <c r="G13" s="341">
        <v>46224</v>
      </c>
      <c r="H13" s="316" t="s">
        <v>149</v>
      </c>
      <c r="I13" s="400" t="s">
        <v>621</v>
      </c>
      <c r="J13" s="320" t="s">
        <v>603</v>
      </c>
      <c r="K13" s="12">
        <v>6200</v>
      </c>
      <c r="L13" s="12">
        <v>1850</v>
      </c>
      <c r="M13" s="258">
        <v>180</v>
      </c>
      <c r="N13" s="12">
        <v>100</v>
      </c>
      <c r="O13" s="12">
        <f t="shared" ref="O13" si="3">SUM(K13:N13)</f>
        <v>8330</v>
      </c>
      <c r="P13" s="12">
        <v>580</v>
      </c>
      <c r="Q13" s="45"/>
    </row>
    <row r="14" spans="1:19" ht="24">
      <c r="A14" s="193" t="s">
        <v>665</v>
      </c>
      <c r="B14" s="33" t="s">
        <v>641</v>
      </c>
      <c r="C14" s="174" t="s">
        <v>641</v>
      </c>
      <c r="D14" s="174" t="s">
        <v>559</v>
      </c>
      <c r="E14" s="174" t="s">
        <v>666</v>
      </c>
      <c r="F14" s="175">
        <v>46210</v>
      </c>
      <c r="G14" s="175">
        <v>46248</v>
      </c>
      <c r="H14" s="194" t="s">
        <v>89</v>
      </c>
      <c r="I14" s="195" t="s">
        <v>621</v>
      </c>
      <c r="J14" s="196" t="s">
        <v>603</v>
      </c>
      <c r="K14" s="81">
        <v>5900</v>
      </c>
      <c r="L14" s="81">
        <v>1850</v>
      </c>
      <c r="M14" s="143">
        <v>180</v>
      </c>
      <c r="N14" s="81">
        <v>100</v>
      </c>
      <c r="O14" s="81">
        <f>SUM(K14:N14)</f>
        <v>8030</v>
      </c>
      <c r="P14" s="81">
        <f>O14</f>
        <v>8030</v>
      </c>
    </row>
    <row r="15" spans="1:19" ht="24">
      <c r="A15" s="193" t="s">
        <v>667</v>
      </c>
      <c r="B15" s="33" t="s">
        <v>641</v>
      </c>
      <c r="C15" s="174" t="s">
        <v>641</v>
      </c>
      <c r="D15" s="174" t="s">
        <v>559</v>
      </c>
      <c r="E15" s="174" t="s">
        <v>668</v>
      </c>
      <c r="F15" s="175">
        <v>46218</v>
      </c>
      <c r="G15" s="175">
        <v>46252</v>
      </c>
      <c r="H15" s="194" t="s">
        <v>149</v>
      </c>
      <c r="I15" s="195" t="s">
        <v>621</v>
      </c>
      <c r="J15" s="196" t="s">
        <v>603</v>
      </c>
      <c r="K15" s="81">
        <v>5200</v>
      </c>
      <c r="L15" s="81">
        <v>1850</v>
      </c>
      <c r="M15" s="143">
        <v>180</v>
      </c>
      <c r="N15" s="81">
        <v>100</v>
      </c>
      <c r="O15" s="81">
        <f>SUM(K15:N15)</f>
        <v>7330</v>
      </c>
      <c r="P15" s="81">
        <f>O15</f>
        <v>7330</v>
      </c>
    </row>
    <row r="16" spans="1:19" ht="24">
      <c r="A16" s="193" t="s">
        <v>669</v>
      </c>
      <c r="B16" s="33" t="s">
        <v>641</v>
      </c>
      <c r="C16" s="174" t="s">
        <v>641</v>
      </c>
      <c r="D16" s="174" t="s">
        <v>559</v>
      </c>
      <c r="E16" s="174" t="s">
        <v>670</v>
      </c>
      <c r="F16" s="175">
        <v>46232</v>
      </c>
      <c r="G16" s="175">
        <v>46266</v>
      </c>
      <c r="H16" s="194" t="s">
        <v>149</v>
      </c>
      <c r="I16" s="195" t="s">
        <v>621</v>
      </c>
      <c r="J16" s="196" t="s">
        <v>603</v>
      </c>
      <c r="K16" s="81">
        <v>4700</v>
      </c>
      <c r="L16" s="81">
        <v>1700</v>
      </c>
      <c r="M16" s="143">
        <v>180</v>
      </c>
      <c r="N16" s="81">
        <v>100</v>
      </c>
      <c r="O16" s="81">
        <f>SUM(K16:N16)</f>
        <v>6680</v>
      </c>
      <c r="P16" s="81">
        <f>O16</f>
        <v>6680</v>
      </c>
    </row>
    <row r="17" spans="1:16" ht="24">
      <c r="A17" s="192" t="s">
        <v>671</v>
      </c>
      <c r="B17" s="33" t="s">
        <v>641</v>
      </c>
      <c r="C17" s="33" t="s">
        <v>641</v>
      </c>
      <c r="D17" s="174" t="s">
        <v>559</v>
      </c>
      <c r="E17" s="32" t="s">
        <v>672</v>
      </c>
      <c r="F17" s="34">
        <v>46246</v>
      </c>
      <c r="G17" s="105">
        <v>46283</v>
      </c>
      <c r="H17" s="32" t="s">
        <v>149</v>
      </c>
      <c r="I17" s="35" t="s">
        <v>621</v>
      </c>
      <c r="J17" s="68" t="s">
        <v>603</v>
      </c>
      <c r="K17" s="81">
        <v>6600</v>
      </c>
      <c r="L17" s="81">
        <v>1700</v>
      </c>
      <c r="M17" s="143">
        <v>180</v>
      </c>
      <c r="N17" s="81">
        <v>100</v>
      </c>
      <c r="O17" s="81">
        <f>SUM(K17:N17)</f>
        <v>8580</v>
      </c>
      <c r="P17" s="81">
        <f>O17</f>
        <v>8580</v>
      </c>
    </row>
    <row r="18" spans="1:16" ht="24">
      <c r="A18" s="193" t="s">
        <v>673</v>
      </c>
      <c r="B18" s="33" t="s">
        <v>641</v>
      </c>
      <c r="C18" s="174" t="s">
        <v>641</v>
      </c>
      <c r="D18" s="174" t="s">
        <v>559</v>
      </c>
      <c r="E18" s="174" t="s">
        <v>674</v>
      </c>
      <c r="F18" s="175">
        <v>46281</v>
      </c>
      <c r="G18" s="175">
        <v>46326</v>
      </c>
      <c r="H18" s="194" t="s">
        <v>149</v>
      </c>
      <c r="I18" s="195" t="s">
        <v>621</v>
      </c>
      <c r="J18" s="196" t="s">
        <v>603</v>
      </c>
      <c r="K18" s="81">
        <v>7600</v>
      </c>
      <c r="L18" s="81">
        <v>1700</v>
      </c>
      <c r="M18" s="143">
        <v>180</v>
      </c>
      <c r="N18" s="81">
        <v>100</v>
      </c>
      <c r="O18" s="81">
        <f>SUM(K18:N18)</f>
        <v>9580</v>
      </c>
      <c r="P18" s="81">
        <f>O18</f>
        <v>9580</v>
      </c>
    </row>
    <row r="19" spans="1:16">
      <c r="A19" s="192"/>
      <c r="B19" s="33"/>
      <c r="C19" s="33"/>
      <c r="D19" s="32"/>
      <c r="E19" s="32"/>
      <c r="F19" s="34"/>
      <c r="G19" s="105"/>
      <c r="H19" s="32"/>
      <c r="I19" s="35"/>
      <c r="J19" s="68"/>
      <c r="K19" s="81"/>
      <c r="L19" s="81"/>
      <c r="M19" s="143"/>
      <c r="N19" s="81"/>
      <c r="O19" s="81"/>
      <c r="P19" s="81"/>
    </row>
    <row r="20" spans="1:16">
      <c r="A20" s="192"/>
      <c r="B20" s="33"/>
      <c r="C20" s="33"/>
      <c r="D20" s="32"/>
      <c r="E20" s="32"/>
      <c r="F20" s="34"/>
      <c r="G20" s="105"/>
      <c r="H20" s="32"/>
      <c r="I20" s="35"/>
      <c r="J20" s="68"/>
      <c r="K20" s="81"/>
      <c r="L20" s="81"/>
      <c r="M20" s="143"/>
      <c r="N20" s="81"/>
      <c r="O20" s="81"/>
      <c r="P20" s="81"/>
    </row>
    <row r="21" spans="1:16">
      <c r="A21" s="192"/>
      <c r="B21" s="33"/>
      <c r="C21" s="33"/>
      <c r="D21" s="32"/>
      <c r="E21" s="32"/>
      <c r="F21" s="34"/>
      <c r="G21" s="105"/>
      <c r="H21" s="32"/>
      <c r="I21" s="35"/>
      <c r="J21" s="68"/>
      <c r="K21" s="81"/>
      <c r="L21" s="81"/>
      <c r="M21" s="143"/>
      <c r="N21" s="81"/>
      <c r="O21" s="81"/>
      <c r="P21" s="81"/>
    </row>
    <row r="22" spans="1:16">
      <c r="A22" s="192"/>
      <c r="B22" s="33"/>
      <c r="C22" s="33"/>
      <c r="D22" s="32"/>
      <c r="E22" s="32"/>
      <c r="F22" s="34"/>
      <c r="G22" s="105"/>
      <c r="H22" s="32"/>
      <c r="I22" s="35"/>
      <c r="J22" s="68"/>
      <c r="K22" s="81"/>
      <c r="L22" s="81"/>
      <c r="M22" s="143"/>
      <c r="N22" s="81"/>
      <c r="O22" s="81"/>
      <c r="P22" s="81"/>
    </row>
    <row r="23" spans="1:16">
      <c r="A23" s="192"/>
      <c r="B23" s="33"/>
      <c r="C23" s="33"/>
      <c r="D23" s="32"/>
      <c r="E23" s="32"/>
      <c r="F23" s="34"/>
      <c r="G23" s="105"/>
      <c r="H23" s="32"/>
      <c r="I23" s="35"/>
      <c r="J23" s="68"/>
      <c r="K23" s="81"/>
      <c r="L23" s="81"/>
      <c r="M23" s="143"/>
      <c r="N23" s="81"/>
      <c r="O23" s="81"/>
      <c r="P23" s="81"/>
    </row>
    <row r="24" spans="1:16">
      <c r="A24" s="192"/>
      <c r="B24" s="33"/>
      <c r="C24" s="33"/>
      <c r="D24" s="32"/>
      <c r="E24" s="32"/>
      <c r="F24" s="34"/>
      <c r="G24" s="105"/>
      <c r="H24" s="32"/>
      <c r="I24" s="35"/>
      <c r="J24" s="68"/>
      <c r="K24" s="81"/>
      <c r="L24" s="81"/>
      <c r="M24" s="143"/>
      <c r="N24" s="81"/>
      <c r="O24" s="81"/>
      <c r="P24" s="81"/>
    </row>
    <row r="25" spans="1:16">
      <c r="A25" s="192"/>
      <c r="B25" s="33"/>
      <c r="C25" s="33"/>
      <c r="D25" s="32"/>
      <c r="E25" s="32"/>
      <c r="F25" s="34"/>
      <c r="G25" s="105"/>
      <c r="H25" s="32"/>
      <c r="I25" s="35"/>
      <c r="J25" s="68"/>
      <c r="K25" s="81"/>
      <c r="L25" s="81"/>
      <c r="M25" s="143"/>
      <c r="N25" s="81"/>
      <c r="O25" s="81"/>
      <c r="P25" s="81"/>
    </row>
    <row r="26" spans="1:16">
      <c r="A26" s="192"/>
      <c r="B26" s="33"/>
      <c r="C26" s="33"/>
      <c r="D26" s="32"/>
      <c r="E26" s="32"/>
      <c r="F26" s="34"/>
      <c r="G26" s="105"/>
      <c r="H26" s="32"/>
      <c r="I26" s="35"/>
      <c r="J26" s="68"/>
      <c r="K26" s="81"/>
      <c r="L26" s="81"/>
      <c r="M26" s="143"/>
      <c r="N26" s="81"/>
      <c r="O26" s="81"/>
      <c r="P26" s="81"/>
    </row>
    <row r="27" spans="1:16">
      <c r="A27" s="192"/>
      <c r="B27" s="33"/>
      <c r="C27" s="33"/>
      <c r="D27" s="32"/>
      <c r="E27" s="32"/>
      <c r="F27" s="34"/>
      <c r="G27" s="105"/>
      <c r="H27" s="32"/>
      <c r="I27" s="35"/>
      <c r="J27" s="68"/>
      <c r="K27" s="81"/>
      <c r="L27" s="81"/>
      <c r="M27" s="143"/>
      <c r="N27" s="81"/>
      <c r="O27" s="81"/>
      <c r="P27" s="81"/>
    </row>
    <row r="28" spans="1:16">
      <c r="A28" s="192"/>
      <c r="B28" s="33"/>
      <c r="C28" s="33"/>
      <c r="D28" s="32"/>
      <c r="E28" s="32"/>
      <c r="F28" s="34"/>
      <c r="G28" s="105"/>
      <c r="H28" s="32"/>
      <c r="I28" s="35"/>
      <c r="J28" s="68"/>
      <c r="K28" s="81"/>
      <c r="L28" s="81"/>
      <c r="M28" s="143"/>
      <c r="N28" s="81"/>
      <c r="O28" s="81"/>
      <c r="P28" s="81"/>
    </row>
    <row r="29" spans="1:16">
      <c r="A29" s="192"/>
      <c r="B29" s="33"/>
      <c r="C29" s="33"/>
      <c r="D29" s="32"/>
      <c r="E29" s="32"/>
      <c r="F29" s="34"/>
      <c r="G29" s="105"/>
      <c r="H29" s="32"/>
      <c r="I29" s="35"/>
      <c r="J29" s="68"/>
      <c r="K29" s="81"/>
      <c r="L29" s="81"/>
      <c r="M29" s="143"/>
      <c r="N29" s="81"/>
      <c r="O29" s="81"/>
      <c r="P29" s="81"/>
    </row>
    <row r="30" spans="1:16">
      <c r="A30" s="192"/>
      <c r="B30" s="33"/>
      <c r="C30" s="33"/>
      <c r="D30" s="32"/>
      <c r="E30" s="32"/>
      <c r="F30" s="34"/>
      <c r="G30" s="105"/>
      <c r="H30" s="32"/>
      <c r="I30" s="35"/>
      <c r="J30" s="68"/>
      <c r="K30" s="81"/>
      <c r="L30" s="81"/>
      <c r="M30" s="143"/>
      <c r="N30" s="81"/>
      <c r="O30" s="81"/>
      <c r="P30" s="81"/>
    </row>
    <row r="31" spans="1:16">
      <c r="A31" s="192"/>
      <c r="B31" s="33"/>
      <c r="C31" s="33"/>
      <c r="D31" s="32"/>
      <c r="E31" s="32"/>
      <c r="F31" s="34"/>
      <c r="G31" s="105"/>
      <c r="H31" s="32"/>
      <c r="I31" s="35"/>
      <c r="J31" s="68"/>
      <c r="K31" s="81"/>
      <c r="L31" s="81"/>
      <c r="M31" s="143"/>
      <c r="N31" s="81"/>
      <c r="O31" s="81"/>
      <c r="P31" s="81"/>
    </row>
    <row r="32" spans="1:16">
      <c r="A32" s="192"/>
      <c r="B32" s="33"/>
      <c r="C32" s="33"/>
      <c r="D32" s="32"/>
      <c r="E32" s="32"/>
      <c r="F32" s="34"/>
      <c r="G32" s="105"/>
      <c r="H32" s="32"/>
      <c r="I32" s="35"/>
      <c r="J32" s="68"/>
      <c r="K32" s="81"/>
      <c r="L32" s="81"/>
      <c r="M32" s="143"/>
      <c r="N32" s="81"/>
      <c r="O32" s="81"/>
      <c r="P32" s="81"/>
    </row>
    <row r="33" spans="1:16">
      <c r="A33" s="192"/>
      <c r="B33" s="33"/>
      <c r="C33" s="33"/>
      <c r="D33" s="32"/>
      <c r="E33" s="32"/>
      <c r="F33" s="34"/>
      <c r="G33" s="105"/>
      <c r="H33" s="32"/>
      <c r="I33" s="35"/>
      <c r="J33" s="68"/>
      <c r="K33" s="81"/>
      <c r="L33" s="81"/>
      <c r="M33" s="143"/>
      <c r="N33" s="81"/>
      <c r="O33" s="81"/>
      <c r="P33" s="81"/>
    </row>
    <row r="34" spans="1:16">
      <c r="A34" s="192"/>
      <c r="B34" s="33"/>
      <c r="C34" s="33"/>
      <c r="D34" s="32"/>
      <c r="E34" s="32"/>
      <c r="F34" s="34"/>
      <c r="G34" s="105"/>
      <c r="H34" s="32"/>
      <c r="I34" s="35"/>
      <c r="J34" s="68"/>
      <c r="K34" s="81"/>
      <c r="L34" s="81"/>
      <c r="M34" s="143"/>
      <c r="N34" s="81"/>
      <c r="O34" s="81"/>
      <c r="P34" s="81"/>
    </row>
    <row r="35" spans="1:16">
      <c r="A35" s="192"/>
      <c r="B35" s="33"/>
      <c r="C35" s="33"/>
      <c r="D35" s="32"/>
      <c r="E35" s="32"/>
      <c r="F35" s="34"/>
      <c r="G35" s="105"/>
      <c r="H35" s="32"/>
      <c r="I35" s="35"/>
      <c r="J35" s="68"/>
      <c r="K35" s="81"/>
      <c r="L35" s="81"/>
      <c r="M35" s="143"/>
      <c r="N35" s="81"/>
      <c r="O35" s="81"/>
      <c r="P35" s="81"/>
    </row>
    <row r="36" spans="1:16">
      <c r="A36" s="192"/>
      <c r="B36" s="33"/>
      <c r="C36" s="33"/>
      <c r="D36" s="32"/>
      <c r="E36" s="32"/>
      <c r="F36" s="34"/>
      <c r="G36" s="105"/>
      <c r="H36" s="32"/>
      <c r="I36" s="35"/>
      <c r="J36" s="68"/>
      <c r="K36" s="81"/>
      <c r="L36" s="81"/>
      <c r="M36" s="143"/>
      <c r="N36" s="81"/>
      <c r="O36" s="81"/>
      <c r="P36" s="81"/>
    </row>
    <row r="37" spans="1:16">
      <c r="A37" s="192"/>
      <c r="B37" s="33"/>
      <c r="C37" s="33"/>
      <c r="D37" s="32"/>
      <c r="E37" s="32"/>
      <c r="F37" s="34"/>
      <c r="G37" s="105"/>
      <c r="H37" s="32"/>
      <c r="I37" s="35"/>
      <c r="J37" s="68"/>
      <c r="K37" s="81"/>
      <c r="L37" s="81"/>
      <c r="M37" s="143"/>
      <c r="N37" s="81"/>
      <c r="O37" s="81"/>
      <c r="P37" s="81"/>
    </row>
    <row r="38" spans="1:16">
      <c r="A38" s="192"/>
      <c r="B38" s="33"/>
      <c r="C38" s="33"/>
      <c r="D38" s="32"/>
      <c r="E38" s="32"/>
      <c r="F38" s="34"/>
      <c r="G38" s="105"/>
      <c r="H38" s="32"/>
      <c r="I38" s="35"/>
      <c r="J38" s="68"/>
      <c r="K38" s="81"/>
      <c r="L38" s="81"/>
      <c r="M38" s="143"/>
      <c r="N38" s="81"/>
      <c r="O38" s="81"/>
      <c r="P38" s="81"/>
    </row>
    <row r="39" spans="1:16">
      <c r="A39" s="192"/>
      <c r="B39" s="33"/>
      <c r="C39" s="33"/>
      <c r="D39" s="32"/>
      <c r="E39" s="32"/>
      <c r="F39" s="34"/>
      <c r="G39" s="105"/>
      <c r="H39" s="32"/>
      <c r="I39" s="35"/>
      <c r="J39" s="68"/>
      <c r="K39" s="81"/>
      <c r="L39" s="81"/>
      <c r="M39" s="143"/>
      <c r="N39" s="81"/>
      <c r="O39" s="81"/>
      <c r="P39" s="81"/>
    </row>
    <row r="40" spans="1:16">
      <c r="A40" s="192"/>
      <c r="B40" s="33"/>
      <c r="C40" s="33"/>
      <c r="D40" s="32"/>
      <c r="E40" s="32"/>
      <c r="F40" s="34"/>
      <c r="G40" s="105"/>
      <c r="H40" s="32"/>
      <c r="I40" s="35"/>
      <c r="J40" s="68"/>
      <c r="K40" s="81"/>
      <c r="L40" s="81"/>
      <c r="M40" s="143"/>
      <c r="N40" s="81"/>
      <c r="O40" s="81"/>
      <c r="P40" s="81"/>
    </row>
    <row r="43" spans="1:16">
      <c r="A43" s="146"/>
    </row>
    <row r="44" spans="1:16">
      <c r="A44" s="146"/>
    </row>
    <row r="45" spans="1:16">
      <c r="A45" s="146"/>
    </row>
    <row r="46" spans="1:16">
      <c r="A46" s="146"/>
    </row>
    <row r="47" spans="1:16">
      <c r="A47" s="146"/>
    </row>
    <row r="48" spans="1:16">
      <c r="A48" s="146"/>
    </row>
    <row r="49" spans="1:1">
      <c r="A49" s="146"/>
    </row>
    <row r="50" spans="1:1">
      <c r="A50" s="146"/>
    </row>
    <row r="51" spans="1:1">
      <c r="A51" s="146"/>
    </row>
    <row r="52" spans="1:1">
      <c r="A52" s="146"/>
    </row>
    <row r="53" spans="1:1">
      <c r="A53" s="146"/>
    </row>
    <row r="54" spans="1:1">
      <c r="A54" s="146"/>
    </row>
    <row r="55" spans="1:1">
      <c r="A55" s="146"/>
    </row>
    <row r="56" spans="1:1">
      <c r="A56" s="146"/>
    </row>
    <row r="57" spans="1:1">
      <c r="A57" s="146"/>
    </row>
  </sheetData>
  <conditionalFormatting sqref="A1:A1048576">
    <cfRule type="duplicateValues" dxfId="3047" priority="1"/>
    <cfRule type="duplicateValues" dxfId="3046" priority="1658"/>
  </conditionalFormatting>
  <conditionalFormatting sqref="A58:A1048576 A1:A42">
    <cfRule type="duplicateValues" dxfId="3045" priority="6"/>
    <cfRule type="duplicateValues" dxfId="3044" priority="27"/>
  </conditionalFormatting>
  <conditionalFormatting sqref="E11:E1048576 E1:E2">
    <cfRule type="duplicateValues" dxfId="3043" priority="1665"/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E6E71-9F92-43D0-A365-67A4D431C0F5}">
  <sheetPr codeName="Hoja9">
    <tabColor theme="4"/>
  </sheetPr>
  <dimension ref="A1:R46"/>
  <sheetViews>
    <sheetView topLeftCell="E1" zoomScale="98" zoomScaleNormal="98" workbookViewId="0">
      <selection activeCell="O2" sqref="O2"/>
    </sheetView>
  </sheetViews>
  <sheetFormatPr defaultColWidth="11.42578125" defaultRowHeight="15" customHeight="1"/>
  <cols>
    <col min="1" max="1" width="10.42578125" bestFit="1" customWidth="1"/>
    <col min="2" max="2" width="11.42578125" bestFit="1" customWidth="1"/>
    <col min="3" max="3" width="13.140625" bestFit="1" customWidth="1"/>
    <col min="4" max="4" width="11.42578125" bestFit="1" customWidth="1"/>
    <col min="5" max="5" width="13.42578125" bestFit="1" customWidth="1"/>
    <col min="6" max="6" width="6.140625" customWidth="1"/>
    <col min="7" max="7" width="6" customWidth="1"/>
    <col min="8" max="8" width="12.140625" bestFit="1" customWidth="1"/>
    <col min="9" max="9" width="10.7109375" customWidth="1"/>
    <col min="10" max="10" width="22.42578125" customWidth="1"/>
    <col min="11" max="11" width="8.7109375" style="1" bestFit="1" customWidth="1"/>
    <col min="12" max="12" width="8.7109375" style="1" customWidth="1"/>
    <col min="13" max="13" width="7.7109375" customWidth="1"/>
    <col min="14" max="14" width="11.7109375" customWidth="1"/>
    <col min="15" max="15" width="12.28515625" customWidth="1"/>
    <col min="16" max="16" width="10.42578125" customWidth="1"/>
  </cols>
  <sheetData>
    <row r="1" spans="1:18" ht="18">
      <c r="J1" s="51"/>
      <c r="O1" s="96">
        <f>SUM(O3:O227)-SUM(R3:R20)</f>
        <v>50110.909999999974</v>
      </c>
      <c r="R1" s="52"/>
    </row>
    <row r="2" spans="1:18" ht="28.9">
      <c r="A2" s="53" t="s">
        <v>45</v>
      </c>
      <c r="B2" s="53" t="s">
        <v>46</v>
      </c>
      <c r="C2" s="53" t="s">
        <v>47</v>
      </c>
      <c r="D2" s="53" t="s">
        <v>48</v>
      </c>
      <c r="E2" s="53" t="s">
        <v>49</v>
      </c>
      <c r="F2" s="53" t="s">
        <v>50</v>
      </c>
      <c r="G2" s="53" t="s">
        <v>51</v>
      </c>
      <c r="H2" s="53" t="s">
        <v>52</v>
      </c>
      <c r="I2" s="53" t="s">
        <v>53</v>
      </c>
      <c r="J2" s="53" t="s">
        <v>54</v>
      </c>
      <c r="K2" s="46" t="s">
        <v>58</v>
      </c>
      <c r="L2" s="54" t="s">
        <v>556</v>
      </c>
      <c r="M2" s="83" t="s">
        <v>675</v>
      </c>
      <c r="N2" s="83" t="s">
        <v>676</v>
      </c>
      <c r="O2" s="53" t="s">
        <v>55</v>
      </c>
      <c r="Q2" s="116" t="s">
        <v>56</v>
      </c>
      <c r="R2" s="134" t="s">
        <v>57</v>
      </c>
    </row>
    <row r="3" spans="1:18" ht="28.15" customHeight="1">
      <c r="A3" s="114" t="s">
        <v>677</v>
      </c>
      <c r="B3" s="106" t="s">
        <v>678</v>
      </c>
      <c r="C3" s="33" t="s">
        <v>678</v>
      </c>
      <c r="D3" s="33" t="s">
        <v>559</v>
      </c>
      <c r="E3" s="32" t="s">
        <v>679</v>
      </c>
      <c r="F3" s="34">
        <v>46033</v>
      </c>
      <c r="G3" s="34">
        <v>46059</v>
      </c>
      <c r="H3" s="32" t="s">
        <v>507</v>
      </c>
      <c r="I3" s="32" t="s">
        <v>648</v>
      </c>
      <c r="J3" s="112" t="s">
        <v>603</v>
      </c>
      <c r="K3" s="81">
        <v>1700</v>
      </c>
      <c r="L3" s="81">
        <v>1600</v>
      </c>
      <c r="M3" s="191">
        <v>180</v>
      </c>
      <c r="N3" s="191">
        <v>100</v>
      </c>
      <c r="O3" s="203">
        <f t="shared" ref="O3:O33" si="0">SUM(K3:N3)</f>
        <v>3580</v>
      </c>
      <c r="Q3" s="150"/>
      <c r="R3" s="76">
        <v>15000</v>
      </c>
    </row>
    <row r="4" spans="1:18" ht="28.15" customHeight="1">
      <c r="A4" s="114" t="s">
        <v>680</v>
      </c>
      <c r="B4" s="106" t="s">
        <v>678</v>
      </c>
      <c r="C4" s="33" t="s">
        <v>678</v>
      </c>
      <c r="D4" s="32" t="s">
        <v>559</v>
      </c>
      <c r="E4" s="32" t="s">
        <v>681</v>
      </c>
      <c r="F4" s="34">
        <v>46032</v>
      </c>
      <c r="G4" s="34">
        <v>46060</v>
      </c>
      <c r="H4" s="32" t="s">
        <v>507</v>
      </c>
      <c r="I4" s="32" t="s">
        <v>85</v>
      </c>
      <c r="J4" s="112" t="s">
        <v>603</v>
      </c>
      <c r="K4" s="81">
        <v>1700</v>
      </c>
      <c r="L4" s="81">
        <v>1600</v>
      </c>
      <c r="M4" s="191">
        <v>180</v>
      </c>
      <c r="N4" s="191">
        <v>100</v>
      </c>
      <c r="O4" s="203">
        <f t="shared" si="0"/>
        <v>3580</v>
      </c>
      <c r="Q4" s="150">
        <v>46126</v>
      </c>
      <c r="R4" s="76">
        <v>421</v>
      </c>
    </row>
    <row r="5" spans="1:18" ht="28.15" customHeight="1">
      <c r="A5" s="114" t="s">
        <v>682</v>
      </c>
      <c r="B5" s="106" t="s">
        <v>678</v>
      </c>
      <c r="C5" s="33" t="s">
        <v>678</v>
      </c>
      <c r="D5" s="33" t="s">
        <v>559</v>
      </c>
      <c r="E5" s="32" t="s">
        <v>683</v>
      </c>
      <c r="F5" s="34">
        <v>45671</v>
      </c>
      <c r="G5" s="34">
        <v>46071</v>
      </c>
      <c r="H5" s="32" t="s">
        <v>149</v>
      </c>
      <c r="I5" s="32" t="s">
        <v>621</v>
      </c>
      <c r="J5" s="112" t="s">
        <v>105</v>
      </c>
      <c r="K5" s="81">
        <v>1300</v>
      </c>
      <c r="L5" s="81">
        <v>0</v>
      </c>
      <c r="M5" s="191">
        <v>180</v>
      </c>
      <c r="N5" s="191">
        <v>100</v>
      </c>
      <c r="O5" s="203">
        <f t="shared" si="0"/>
        <v>1580</v>
      </c>
      <c r="Q5" s="150">
        <v>46132</v>
      </c>
      <c r="R5" s="76">
        <v>19016</v>
      </c>
    </row>
    <row r="6" spans="1:18" ht="28.15" customHeight="1">
      <c r="A6" s="114" t="s">
        <v>684</v>
      </c>
      <c r="B6" s="106" t="s">
        <v>678</v>
      </c>
      <c r="C6" s="33" t="s">
        <v>678</v>
      </c>
      <c r="D6" s="33" t="s">
        <v>559</v>
      </c>
      <c r="E6" s="32" t="s">
        <v>685</v>
      </c>
      <c r="F6" s="34">
        <v>45671</v>
      </c>
      <c r="G6" s="34">
        <v>46077</v>
      </c>
      <c r="H6" s="32" t="s">
        <v>149</v>
      </c>
      <c r="I6" s="32" t="s">
        <v>621</v>
      </c>
      <c r="J6" s="112" t="s">
        <v>105</v>
      </c>
      <c r="K6" s="81">
        <v>1300</v>
      </c>
      <c r="L6" s="81">
        <v>0</v>
      </c>
      <c r="M6" s="191">
        <v>180</v>
      </c>
      <c r="N6" s="191">
        <v>100</v>
      </c>
      <c r="O6" s="203">
        <f t="shared" si="0"/>
        <v>1580</v>
      </c>
      <c r="Q6" s="150">
        <v>46205</v>
      </c>
      <c r="R6" s="76">
        <v>27030</v>
      </c>
    </row>
    <row r="7" spans="1:18" ht="28.15" customHeight="1">
      <c r="A7" s="114" t="s">
        <v>686</v>
      </c>
      <c r="B7" s="106" t="s">
        <v>678</v>
      </c>
      <c r="C7" s="33" t="s">
        <v>678</v>
      </c>
      <c r="D7" s="33" t="s">
        <v>559</v>
      </c>
      <c r="E7" s="32" t="s">
        <v>687</v>
      </c>
      <c r="F7" s="34">
        <v>45671</v>
      </c>
      <c r="G7" s="34">
        <v>46077</v>
      </c>
      <c r="H7" s="32" t="s">
        <v>149</v>
      </c>
      <c r="I7" s="32" t="s">
        <v>621</v>
      </c>
      <c r="J7" s="112" t="s">
        <v>105</v>
      </c>
      <c r="K7" s="81">
        <v>1300</v>
      </c>
      <c r="L7" s="81">
        <v>0</v>
      </c>
      <c r="M7" s="191">
        <v>180</v>
      </c>
      <c r="N7" s="191">
        <v>100</v>
      </c>
      <c r="O7" s="203">
        <f t="shared" si="0"/>
        <v>1580</v>
      </c>
      <c r="Q7" s="150">
        <v>46258</v>
      </c>
      <c r="R7" s="76">
        <v>20591.07</v>
      </c>
    </row>
    <row r="8" spans="1:18" ht="28.15" customHeight="1">
      <c r="A8" s="114" t="s">
        <v>688</v>
      </c>
      <c r="B8" s="106" t="s">
        <v>678</v>
      </c>
      <c r="C8" s="33" t="s">
        <v>678</v>
      </c>
      <c r="D8" s="33" t="s">
        <v>559</v>
      </c>
      <c r="E8" s="32" t="s">
        <v>689</v>
      </c>
      <c r="F8" s="34">
        <v>45671</v>
      </c>
      <c r="G8" s="34">
        <v>46077</v>
      </c>
      <c r="H8" s="32" t="s">
        <v>149</v>
      </c>
      <c r="I8" s="32" t="s">
        <v>621</v>
      </c>
      <c r="J8" s="112" t="s">
        <v>603</v>
      </c>
      <c r="K8" s="81">
        <v>1300</v>
      </c>
      <c r="L8" s="81">
        <v>1600</v>
      </c>
      <c r="M8" s="191">
        <v>180</v>
      </c>
      <c r="N8" s="191">
        <v>100</v>
      </c>
      <c r="O8" s="203">
        <f t="shared" si="0"/>
        <v>3180</v>
      </c>
      <c r="Q8" s="150">
        <v>46289</v>
      </c>
      <c r="R8" s="76">
        <v>21937.02</v>
      </c>
    </row>
    <row r="9" spans="1:18" ht="28.15" customHeight="1">
      <c r="A9" s="114" t="s">
        <v>690</v>
      </c>
      <c r="B9" s="106" t="s">
        <v>678</v>
      </c>
      <c r="C9" s="33" t="s">
        <v>678</v>
      </c>
      <c r="D9" s="33" t="s">
        <v>559</v>
      </c>
      <c r="E9" s="32" t="s">
        <v>691</v>
      </c>
      <c r="F9" s="34">
        <v>45671</v>
      </c>
      <c r="G9" s="34">
        <v>46077</v>
      </c>
      <c r="H9" s="32" t="s">
        <v>149</v>
      </c>
      <c r="I9" s="32" t="s">
        <v>621</v>
      </c>
      <c r="J9" s="112" t="s">
        <v>603</v>
      </c>
      <c r="K9" s="81">
        <v>1300</v>
      </c>
      <c r="L9" s="81">
        <v>1600</v>
      </c>
      <c r="M9" s="191">
        <v>180</v>
      </c>
      <c r="N9" s="191">
        <v>100</v>
      </c>
      <c r="O9" s="203">
        <f t="shared" si="0"/>
        <v>3180</v>
      </c>
      <c r="Q9" s="150">
        <v>46311</v>
      </c>
      <c r="R9" s="76">
        <v>29014</v>
      </c>
    </row>
    <row r="10" spans="1:18" ht="28.15" customHeight="1">
      <c r="A10" s="114" t="s">
        <v>692</v>
      </c>
      <c r="B10" s="106" t="s">
        <v>678</v>
      </c>
      <c r="C10" s="33" t="s">
        <v>678</v>
      </c>
      <c r="D10" s="33" t="s">
        <v>559</v>
      </c>
      <c r="E10" s="32" t="s">
        <v>693</v>
      </c>
      <c r="F10" s="34">
        <v>46036</v>
      </c>
      <c r="G10" s="34">
        <v>46077</v>
      </c>
      <c r="H10" s="32" t="s">
        <v>149</v>
      </c>
      <c r="I10" s="32" t="s">
        <v>621</v>
      </c>
      <c r="J10" s="112" t="s">
        <v>603</v>
      </c>
      <c r="K10" s="81">
        <v>1300</v>
      </c>
      <c r="L10" s="81">
        <v>1600</v>
      </c>
      <c r="M10" s="191">
        <v>180</v>
      </c>
      <c r="N10" s="191">
        <v>100</v>
      </c>
      <c r="O10" s="203">
        <f t="shared" si="0"/>
        <v>3180</v>
      </c>
    </row>
    <row r="11" spans="1:18" ht="28.15" customHeight="1">
      <c r="A11" s="114" t="s">
        <v>694</v>
      </c>
      <c r="B11" s="106" t="s">
        <v>678</v>
      </c>
      <c r="C11" s="33" t="s">
        <v>678</v>
      </c>
      <c r="D11" s="33" t="s">
        <v>559</v>
      </c>
      <c r="E11" s="32" t="s">
        <v>695</v>
      </c>
      <c r="F11" s="34">
        <v>46050</v>
      </c>
      <c r="G11" s="34">
        <v>46084</v>
      </c>
      <c r="H11" s="32" t="s">
        <v>89</v>
      </c>
      <c r="I11" s="32" t="s">
        <v>621</v>
      </c>
      <c r="J11" s="112" t="s">
        <v>105</v>
      </c>
      <c r="K11" s="81">
        <v>1350</v>
      </c>
      <c r="L11" s="81">
        <v>0</v>
      </c>
      <c r="M11" s="191">
        <v>180</v>
      </c>
      <c r="N11" s="191">
        <v>100</v>
      </c>
      <c r="O11" s="203">
        <f t="shared" si="0"/>
        <v>1630</v>
      </c>
    </row>
    <row r="12" spans="1:18" ht="28.15" customHeight="1">
      <c r="A12" s="114" t="s">
        <v>696</v>
      </c>
      <c r="B12" s="106" t="s">
        <v>678</v>
      </c>
      <c r="C12" s="33" t="s">
        <v>678</v>
      </c>
      <c r="D12" s="33" t="s">
        <v>559</v>
      </c>
      <c r="E12" s="32" t="s">
        <v>697</v>
      </c>
      <c r="F12" s="34">
        <v>46050</v>
      </c>
      <c r="G12" s="34">
        <v>46084</v>
      </c>
      <c r="H12" s="32" t="s">
        <v>89</v>
      </c>
      <c r="I12" s="32" t="s">
        <v>621</v>
      </c>
      <c r="J12" s="112" t="s">
        <v>603</v>
      </c>
      <c r="K12" s="81">
        <v>1350</v>
      </c>
      <c r="L12" s="81">
        <v>1570</v>
      </c>
      <c r="M12" s="191">
        <v>180</v>
      </c>
      <c r="N12" s="191">
        <v>100</v>
      </c>
      <c r="O12" s="203">
        <f t="shared" si="0"/>
        <v>3200</v>
      </c>
    </row>
    <row r="13" spans="1:18" ht="28.15" customHeight="1">
      <c r="A13" s="114" t="s">
        <v>698</v>
      </c>
      <c r="B13" s="106" t="s">
        <v>678</v>
      </c>
      <c r="C13" s="33" t="s">
        <v>678</v>
      </c>
      <c r="D13" s="33" t="s">
        <v>559</v>
      </c>
      <c r="E13" s="32" t="s">
        <v>699</v>
      </c>
      <c r="F13" s="34">
        <v>46057</v>
      </c>
      <c r="G13" s="34">
        <v>46091</v>
      </c>
      <c r="H13" s="32" t="s">
        <v>89</v>
      </c>
      <c r="I13" s="32" t="s">
        <v>621</v>
      </c>
      <c r="J13" s="112" t="s">
        <v>105</v>
      </c>
      <c r="K13" s="81">
        <v>1350</v>
      </c>
      <c r="L13" s="81">
        <v>0</v>
      </c>
      <c r="M13" s="191">
        <v>180</v>
      </c>
      <c r="N13" s="191">
        <v>100</v>
      </c>
      <c r="O13" s="203">
        <f t="shared" si="0"/>
        <v>1630</v>
      </c>
    </row>
    <row r="14" spans="1:18" ht="28.15" customHeight="1">
      <c r="A14" s="114" t="s">
        <v>700</v>
      </c>
      <c r="B14" s="106" t="s">
        <v>678</v>
      </c>
      <c r="C14" s="33" t="s">
        <v>678</v>
      </c>
      <c r="D14" s="33" t="s">
        <v>559</v>
      </c>
      <c r="E14" s="32" t="s">
        <v>701</v>
      </c>
      <c r="F14" s="34">
        <v>46057</v>
      </c>
      <c r="G14" s="34">
        <v>46091</v>
      </c>
      <c r="H14" s="32" t="s">
        <v>89</v>
      </c>
      <c r="I14" s="32" t="s">
        <v>621</v>
      </c>
      <c r="J14" s="112" t="s">
        <v>603</v>
      </c>
      <c r="K14" s="81">
        <v>1350</v>
      </c>
      <c r="L14" s="81">
        <v>1570</v>
      </c>
      <c r="M14" s="191">
        <v>0</v>
      </c>
      <c r="N14" s="191">
        <v>100</v>
      </c>
      <c r="O14" s="203">
        <f t="shared" si="0"/>
        <v>3020</v>
      </c>
    </row>
    <row r="15" spans="1:18" ht="28.15" customHeight="1">
      <c r="A15" s="114" t="s">
        <v>702</v>
      </c>
      <c r="B15" s="106" t="s">
        <v>678</v>
      </c>
      <c r="C15" s="33" t="s">
        <v>678</v>
      </c>
      <c r="D15" s="33" t="s">
        <v>559</v>
      </c>
      <c r="E15" s="32" t="s">
        <v>703</v>
      </c>
      <c r="F15" s="34">
        <v>46064</v>
      </c>
      <c r="G15" s="34">
        <v>46095</v>
      </c>
      <c r="H15" s="32" t="s">
        <v>89</v>
      </c>
      <c r="I15" s="32" t="s">
        <v>85</v>
      </c>
      <c r="J15" s="112" t="s">
        <v>603</v>
      </c>
      <c r="K15" s="81">
        <v>1350</v>
      </c>
      <c r="L15" s="81">
        <v>1570</v>
      </c>
      <c r="M15" s="191">
        <v>180</v>
      </c>
      <c r="N15" s="191">
        <v>100</v>
      </c>
      <c r="O15" s="203">
        <f t="shared" si="0"/>
        <v>3200</v>
      </c>
    </row>
    <row r="16" spans="1:18" ht="28.15" customHeight="1">
      <c r="A16" s="114" t="s">
        <v>704</v>
      </c>
      <c r="B16" s="106" t="s">
        <v>678</v>
      </c>
      <c r="C16" s="33" t="s">
        <v>678</v>
      </c>
      <c r="D16" s="33" t="s">
        <v>559</v>
      </c>
      <c r="E16" s="32" t="s">
        <v>705</v>
      </c>
      <c r="F16" s="34">
        <v>46064</v>
      </c>
      <c r="G16" s="34">
        <v>46098</v>
      </c>
      <c r="H16" s="32" t="s">
        <v>89</v>
      </c>
      <c r="I16" s="32" t="s">
        <v>621</v>
      </c>
      <c r="J16" s="112" t="s">
        <v>603</v>
      </c>
      <c r="K16" s="81">
        <v>1350</v>
      </c>
      <c r="L16" s="81">
        <v>1570</v>
      </c>
      <c r="M16" s="191">
        <v>180</v>
      </c>
      <c r="N16" s="191">
        <v>100</v>
      </c>
      <c r="O16" s="203">
        <f t="shared" si="0"/>
        <v>3200</v>
      </c>
    </row>
    <row r="17" spans="1:15" ht="28.15" customHeight="1">
      <c r="A17" s="114" t="s">
        <v>706</v>
      </c>
      <c r="B17" s="106" t="s">
        <v>678</v>
      </c>
      <c r="C17" s="33" t="s">
        <v>678</v>
      </c>
      <c r="D17" s="33" t="s">
        <v>559</v>
      </c>
      <c r="E17" s="32" t="s">
        <v>707</v>
      </c>
      <c r="F17" s="34">
        <v>46071</v>
      </c>
      <c r="G17" s="34">
        <v>46105</v>
      </c>
      <c r="H17" s="32" t="s">
        <v>89</v>
      </c>
      <c r="I17" s="32" t="s">
        <v>621</v>
      </c>
      <c r="J17" s="112" t="s">
        <v>105</v>
      </c>
      <c r="K17" s="81">
        <v>2600</v>
      </c>
      <c r="L17" s="81">
        <v>0</v>
      </c>
      <c r="M17" s="191">
        <v>180</v>
      </c>
      <c r="N17" s="191">
        <v>100</v>
      </c>
      <c r="O17" s="203">
        <f t="shared" si="0"/>
        <v>2880</v>
      </c>
    </row>
    <row r="18" spans="1:15" ht="28.15" customHeight="1">
      <c r="A18" s="114" t="s">
        <v>708</v>
      </c>
      <c r="B18" s="106" t="s">
        <v>678</v>
      </c>
      <c r="C18" s="33" t="s">
        <v>678</v>
      </c>
      <c r="D18" s="33" t="s">
        <v>559</v>
      </c>
      <c r="E18" s="32" t="s">
        <v>709</v>
      </c>
      <c r="F18" s="34">
        <v>46092</v>
      </c>
      <c r="G18" s="34">
        <v>46126</v>
      </c>
      <c r="H18" s="32" t="s">
        <v>89</v>
      </c>
      <c r="I18" s="32" t="s">
        <v>621</v>
      </c>
      <c r="J18" s="112" t="s">
        <v>105</v>
      </c>
      <c r="K18" s="81">
        <v>3400</v>
      </c>
      <c r="L18" s="81">
        <v>0</v>
      </c>
      <c r="M18" s="191">
        <v>180</v>
      </c>
      <c r="N18" s="191">
        <v>100</v>
      </c>
      <c r="O18" s="203">
        <f t="shared" si="0"/>
        <v>3680</v>
      </c>
    </row>
    <row r="19" spans="1:15" ht="28.15" customHeight="1">
      <c r="A19" s="114" t="s">
        <v>710</v>
      </c>
      <c r="B19" s="106" t="s">
        <v>678</v>
      </c>
      <c r="C19" s="33" t="s">
        <v>678</v>
      </c>
      <c r="D19" s="33" t="s">
        <v>559</v>
      </c>
      <c r="E19" s="32" t="s">
        <v>711</v>
      </c>
      <c r="F19" s="34">
        <v>46099</v>
      </c>
      <c r="G19" s="34">
        <v>46133</v>
      </c>
      <c r="H19" s="32" t="s">
        <v>89</v>
      </c>
      <c r="I19" s="32" t="s">
        <v>621</v>
      </c>
      <c r="J19" s="112" t="s">
        <v>105</v>
      </c>
      <c r="K19" s="81">
        <v>3050</v>
      </c>
      <c r="L19" s="81">
        <v>0</v>
      </c>
      <c r="M19" s="191">
        <v>180</v>
      </c>
      <c r="N19" s="191">
        <v>100</v>
      </c>
      <c r="O19" s="203">
        <f t="shared" si="0"/>
        <v>3330</v>
      </c>
    </row>
    <row r="20" spans="1:15" ht="28.15" customHeight="1">
      <c r="A20" s="217" t="s">
        <v>712</v>
      </c>
      <c r="B20" s="106" t="s">
        <v>678</v>
      </c>
      <c r="C20" s="33" t="s">
        <v>678</v>
      </c>
      <c r="D20" s="33" t="s">
        <v>559</v>
      </c>
      <c r="E20" s="32" t="s">
        <v>713</v>
      </c>
      <c r="F20" s="34">
        <v>46120</v>
      </c>
      <c r="G20" s="34">
        <v>46154</v>
      </c>
      <c r="H20" s="32" t="s">
        <v>89</v>
      </c>
      <c r="I20" s="32" t="s">
        <v>621</v>
      </c>
      <c r="J20" s="112" t="s">
        <v>105</v>
      </c>
      <c r="K20" s="81">
        <v>3200</v>
      </c>
      <c r="L20" s="81">
        <v>0</v>
      </c>
      <c r="M20" s="191">
        <v>180</v>
      </c>
      <c r="N20" s="191">
        <v>100</v>
      </c>
      <c r="O20" s="203">
        <f t="shared" si="0"/>
        <v>3480</v>
      </c>
    </row>
    <row r="21" spans="1:15" ht="28.15" customHeight="1">
      <c r="A21" s="217" t="s">
        <v>714</v>
      </c>
      <c r="B21" s="106" t="s">
        <v>678</v>
      </c>
      <c r="C21" s="33" t="s">
        <v>678</v>
      </c>
      <c r="D21" s="33" t="s">
        <v>559</v>
      </c>
      <c r="E21" s="32" t="s">
        <v>715</v>
      </c>
      <c r="F21" s="34">
        <v>46114</v>
      </c>
      <c r="G21" s="34">
        <v>46155</v>
      </c>
      <c r="H21" s="32" t="s">
        <v>89</v>
      </c>
      <c r="I21" s="32" t="s">
        <v>621</v>
      </c>
      <c r="J21" s="112" t="s">
        <v>603</v>
      </c>
      <c r="K21" s="81">
        <v>3250</v>
      </c>
      <c r="L21" s="81">
        <v>1570</v>
      </c>
      <c r="M21" s="191">
        <v>180</v>
      </c>
      <c r="N21" s="191">
        <v>100</v>
      </c>
      <c r="O21" s="203">
        <f t="shared" si="0"/>
        <v>5100</v>
      </c>
    </row>
    <row r="22" spans="1:15" ht="28.15" customHeight="1">
      <c r="A22" s="114" t="s">
        <v>716</v>
      </c>
      <c r="B22" s="106" t="s">
        <v>678</v>
      </c>
      <c r="C22" s="33" t="s">
        <v>678</v>
      </c>
      <c r="D22" s="33" t="s">
        <v>559</v>
      </c>
      <c r="E22" s="32" t="s">
        <v>717</v>
      </c>
      <c r="F22" s="34">
        <v>46134</v>
      </c>
      <c r="G22" s="34">
        <v>46159</v>
      </c>
      <c r="H22" s="32" t="s">
        <v>100</v>
      </c>
      <c r="I22" s="32" t="s">
        <v>85</v>
      </c>
      <c r="J22" s="112" t="s">
        <v>105</v>
      </c>
      <c r="K22" s="81">
        <v>2900</v>
      </c>
      <c r="L22" s="81">
        <v>0</v>
      </c>
      <c r="M22" s="191">
        <v>180</v>
      </c>
      <c r="N22" s="191">
        <v>100</v>
      </c>
      <c r="O22" s="203">
        <f t="shared" si="0"/>
        <v>3180</v>
      </c>
    </row>
    <row r="23" spans="1:15" ht="28.15" customHeight="1">
      <c r="A23" s="114" t="s">
        <v>718</v>
      </c>
      <c r="B23" s="106" t="s">
        <v>678</v>
      </c>
      <c r="C23" s="33" t="s">
        <v>678</v>
      </c>
      <c r="D23" s="33" t="s">
        <v>559</v>
      </c>
      <c r="E23" s="32" t="s">
        <v>719</v>
      </c>
      <c r="F23" s="34">
        <v>46134</v>
      </c>
      <c r="G23" s="34">
        <v>46168</v>
      </c>
      <c r="H23" s="32" t="s">
        <v>89</v>
      </c>
      <c r="I23" s="32" t="s">
        <v>621</v>
      </c>
      <c r="J23" s="112" t="s">
        <v>105</v>
      </c>
      <c r="K23" s="81">
        <v>3000</v>
      </c>
      <c r="L23" s="81">
        <v>0</v>
      </c>
      <c r="M23" s="191">
        <v>180</v>
      </c>
      <c r="N23" s="191">
        <v>100</v>
      </c>
      <c r="O23" s="203">
        <f t="shared" si="0"/>
        <v>3280</v>
      </c>
    </row>
    <row r="24" spans="1:15" ht="28.15" customHeight="1">
      <c r="A24" s="114" t="s">
        <v>720</v>
      </c>
      <c r="B24" s="106" t="s">
        <v>678</v>
      </c>
      <c r="C24" s="33" t="s">
        <v>678</v>
      </c>
      <c r="D24" s="33" t="s">
        <v>559</v>
      </c>
      <c r="E24" s="32" t="s">
        <v>721</v>
      </c>
      <c r="F24" s="34">
        <v>46134</v>
      </c>
      <c r="G24" s="34">
        <v>46168</v>
      </c>
      <c r="H24" s="32" t="s">
        <v>89</v>
      </c>
      <c r="I24" s="32" t="s">
        <v>621</v>
      </c>
      <c r="J24" s="112" t="s">
        <v>105</v>
      </c>
      <c r="K24" s="81">
        <v>3000</v>
      </c>
      <c r="L24" s="81">
        <v>0</v>
      </c>
      <c r="M24" s="191">
        <v>180</v>
      </c>
      <c r="N24" s="191">
        <v>100</v>
      </c>
      <c r="O24" s="203">
        <f t="shared" si="0"/>
        <v>3280</v>
      </c>
    </row>
    <row r="25" spans="1:15" ht="28.15" customHeight="1">
      <c r="A25" s="114" t="s">
        <v>722</v>
      </c>
      <c r="B25" s="106" t="s">
        <v>678</v>
      </c>
      <c r="C25" s="33" t="s">
        <v>678</v>
      </c>
      <c r="D25" s="33" t="s">
        <v>559</v>
      </c>
      <c r="E25" s="32" t="s">
        <v>723</v>
      </c>
      <c r="F25" s="34">
        <v>46134</v>
      </c>
      <c r="G25" s="34">
        <v>46168</v>
      </c>
      <c r="H25" s="32" t="s">
        <v>89</v>
      </c>
      <c r="I25" s="32" t="s">
        <v>621</v>
      </c>
      <c r="J25" s="112" t="s">
        <v>105</v>
      </c>
      <c r="K25" s="81">
        <v>3000</v>
      </c>
      <c r="L25" s="81">
        <v>0</v>
      </c>
      <c r="M25" s="191">
        <v>180</v>
      </c>
      <c r="N25" s="191">
        <v>100</v>
      </c>
      <c r="O25" s="203">
        <f t="shared" si="0"/>
        <v>3280</v>
      </c>
    </row>
    <row r="26" spans="1:15" ht="28.15" customHeight="1">
      <c r="A26" s="114" t="s">
        <v>724</v>
      </c>
      <c r="B26" s="106" t="s">
        <v>678</v>
      </c>
      <c r="C26" s="33" t="s">
        <v>678</v>
      </c>
      <c r="D26" s="33" t="s">
        <v>559</v>
      </c>
      <c r="E26" s="32" t="s">
        <v>725</v>
      </c>
      <c r="F26" s="34">
        <v>46141</v>
      </c>
      <c r="G26" s="34">
        <v>46175</v>
      </c>
      <c r="H26" s="32" t="s">
        <v>89</v>
      </c>
      <c r="I26" s="32" t="s">
        <v>621</v>
      </c>
      <c r="J26" s="112" t="s">
        <v>105</v>
      </c>
      <c r="K26" s="81">
        <v>3000</v>
      </c>
      <c r="L26" s="81">
        <v>0</v>
      </c>
      <c r="M26" s="191">
        <v>180</v>
      </c>
      <c r="N26" s="191">
        <v>100</v>
      </c>
      <c r="O26" s="203">
        <f t="shared" si="0"/>
        <v>3280</v>
      </c>
    </row>
    <row r="27" spans="1:15" ht="28.15" customHeight="1">
      <c r="A27" s="114" t="s">
        <v>726</v>
      </c>
      <c r="B27" s="106" t="s">
        <v>678</v>
      </c>
      <c r="C27" s="33" t="s">
        <v>678</v>
      </c>
      <c r="D27" s="33" t="s">
        <v>559</v>
      </c>
      <c r="E27" s="32" t="s">
        <v>727</v>
      </c>
      <c r="F27" s="34">
        <v>46141</v>
      </c>
      <c r="G27" s="34">
        <v>46175</v>
      </c>
      <c r="H27" s="32" t="s">
        <v>89</v>
      </c>
      <c r="I27" s="32" t="s">
        <v>621</v>
      </c>
      <c r="J27" s="112" t="s">
        <v>105</v>
      </c>
      <c r="K27" s="81">
        <v>3000</v>
      </c>
      <c r="L27" s="81">
        <v>0</v>
      </c>
      <c r="M27" s="191">
        <v>180</v>
      </c>
      <c r="N27" s="191">
        <v>100</v>
      </c>
      <c r="O27" s="203">
        <f t="shared" si="0"/>
        <v>3280</v>
      </c>
    </row>
    <row r="28" spans="1:15" ht="28.15" customHeight="1">
      <c r="A28" s="114" t="s">
        <v>728</v>
      </c>
      <c r="B28" s="106" t="s">
        <v>678</v>
      </c>
      <c r="C28" s="33" t="s">
        <v>678</v>
      </c>
      <c r="D28" s="33" t="s">
        <v>559</v>
      </c>
      <c r="E28" s="32" t="s">
        <v>729</v>
      </c>
      <c r="F28" s="34">
        <v>46141</v>
      </c>
      <c r="G28" s="34">
        <v>46175</v>
      </c>
      <c r="H28" s="32" t="s">
        <v>89</v>
      </c>
      <c r="I28" s="32" t="s">
        <v>621</v>
      </c>
      <c r="J28" s="112" t="s">
        <v>105</v>
      </c>
      <c r="K28" s="81">
        <v>3000</v>
      </c>
      <c r="L28" s="81">
        <v>0</v>
      </c>
      <c r="M28" s="191">
        <v>180</v>
      </c>
      <c r="N28" s="191">
        <v>100</v>
      </c>
      <c r="O28" s="203">
        <f t="shared" si="0"/>
        <v>3280</v>
      </c>
    </row>
    <row r="29" spans="1:15" ht="28.15" customHeight="1">
      <c r="A29" s="114" t="s">
        <v>730</v>
      </c>
      <c r="B29" s="106" t="s">
        <v>678</v>
      </c>
      <c r="C29" s="33" t="s">
        <v>678</v>
      </c>
      <c r="D29" s="33" t="s">
        <v>559</v>
      </c>
      <c r="E29" s="32" t="s">
        <v>731</v>
      </c>
      <c r="F29" s="34">
        <v>46148</v>
      </c>
      <c r="G29" s="34">
        <v>46182</v>
      </c>
      <c r="H29" s="32" t="s">
        <v>89</v>
      </c>
      <c r="I29" s="32" t="s">
        <v>621</v>
      </c>
      <c r="J29" s="112" t="s">
        <v>105</v>
      </c>
      <c r="K29" s="81">
        <v>3050</v>
      </c>
      <c r="L29" s="81">
        <v>0</v>
      </c>
      <c r="M29" s="191">
        <v>180</v>
      </c>
      <c r="N29" s="191">
        <v>100</v>
      </c>
      <c r="O29" s="203">
        <f t="shared" si="0"/>
        <v>3330</v>
      </c>
    </row>
    <row r="30" spans="1:15" ht="28.15" customHeight="1">
      <c r="A30" s="114" t="s">
        <v>732</v>
      </c>
      <c r="B30" s="106" t="s">
        <v>678</v>
      </c>
      <c r="C30" s="33" t="s">
        <v>678</v>
      </c>
      <c r="D30" s="33" t="s">
        <v>559</v>
      </c>
      <c r="E30" s="32" t="s">
        <v>733</v>
      </c>
      <c r="F30" s="34">
        <v>46148</v>
      </c>
      <c r="G30" s="34">
        <v>46182</v>
      </c>
      <c r="H30" s="32" t="s">
        <v>89</v>
      </c>
      <c r="I30" s="32" t="s">
        <v>621</v>
      </c>
      <c r="J30" s="112" t="s">
        <v>105</v>
      </c>
      <c r="K30" s="81">
        <v>3050</v>
      </c>
      <c r="L30" s="81">
        <v>0</v>
      </c>
      <c r="M30" s="191">
        <v>180</v>
      </c>
      <c r="N30" s="191">
        <v>100</v>
      </c>
      <c r="O30" s="203">
        <f t="shared" si="0"/>
        <v>3330</v>
      </c>
    </row>
    <row r="31" spans="1:15" ht="28.15" customHeight="1">
      <c r="A31" s="114" t="s">
        <v>734</v>
      </c>
      <c r="B31" s="106" t="s">
        <v>678</v>
      </c>
      <c r="C31" s="33" t="s">
        <v>678</v>
      </c>
      <c r="D31" s="33" t="s">
        <v>559</v>
      </c>
      <c r="E31" s="32" t="s">
        <v>735</v>
      </c>
      <c r="F31" s="34">
        <v>46162</v>
      </c>
      <c r="G31" s="34">
        <v>46196</v>
      </c>
      <c r="H31" s="32" t="s">
        <v>89</v>
      </c>
      <c r="I31" s="32" t="s">
        <v>621</v>
      </c>
      <c r="J31" s="112" t="s">
        <v>105</v>
      </c>
      <c r="K31" s="81">
        <v>4150</v>
      </c>
      <c r="L31" s="81">
        <v>0</v>
      </c>
      <c r="M31" s="191">
        <v>180</v>
      </c>
      <c r="N31" s="191">
        <v>100</v>
      </c>
      <c r="O31" s="203">
        <f t="shared" si="0"/>
        <v>4430</v>
      </c>
    </row>
    <row r="32" spans="1:15" ht="28.15" customHeight="1">
      <c r="A32" s="114" t="s">
        <v>736</v>
      </c>
      <c r="B32" s="106" t="s">
        <v>678</v>
      </c>
      <c r="C32" s="33" t="s">
        <v>678</v>
      </c>
      <c r="D32" s="33" t="s">
        <v>559</v>
      </c>
      <c r="E32" s="32" t="s">
        <v>737</v>
      </c>
      <c r="F32" s="34">
        <v>46162</v>
      </c>
      <c r="G32" s="34">
        <v>46196</v>
      </c>
      <c r="H32" s="32" t="s">
        <v>89</v>
      </c>
      <c r="I32" s="32" t="s">
        <v>621</v>
      </c>
      <c r="J32" s="112" t="s">
        <v>105</v>
      </c>
      <c r="K32" s="81">
        <v>4150</v>
      </c>
      <c r="L32" s="81">
        <v>0</v>
      </c>
      <c r="M32" s="191">
        <v>180</v>
      </c>
      <c r="N32" s="191">
        <v>100</v>
      </c>
      <c r="O32" s="203">
        <f t="shared" si="0"/>
        <v>4430</v>
      </c>
    </row>
    <row r="33" spans="1:15" ht="28.15" customHeight="1">
      <c r="A33" s="114" t="s">
        <v>738</v>
      </c>
      <c r="B33" s="106" t="s">
        <v>678</v>
      </c>
      <c r="C33" s="33" t="s">
        <v>678</v>
      </c>
      <c r="D33" s="33" t="s">
        <v>559</v>
      </c>
      <c r="E33" s="32" t="s">
        <v>739</v>
      </c>
      <c r="F33" s="34">
        <v>46176</v>
      </c>
      <c r="G33" s="34">
        <v>46217</v>
      </c>
      <c r="H33" s="32" t="s">
        <v>149</v>
      </c>
      <c r="I33" s="32" t="s">
        <v>621</v>
      </c>
      <c r="J33" s="112" t="s">
        <v>603</v>
      </c>
      <c r="K33" s="81">
        <v>5500</v>
      </c>
      <c r="L33" s="81">
        <v>1570</v>
      </c>
      <c r="M33" s="191">
        <v>180</v>
      </c>
      <c r="N33" s="191">
        <v>100</v>
      </c>
      <c r="O33" s="203">
        <f t="shared" si="0"/>
        <v>7350</v>
      </c>
    </row>
    <row r="34" spans="1:15" ht="15" customHeight="1">
      <c r="A34" s="114" t="s">
        <v>740</v>
      </c>
      <c r="B34" s="106" t="s">
        <v>678</v>
      </c>
      <c r="C34" s="33" t="s">
        <v>678</v>
      </c>
      <c r="D34" s="33" t="s">
        <v>559</v>
      </c>
      <c r="E34" s="32" t="s">
        <v>741</v>
      </c>
      <c r="F34" s="34">
        <v>46208</v>
      </c>
      <c r="G34" s="34">
        <v>46241</v>
      </c>
      <c r="H34" s="32" t="s">
        <v>482</v>
      </c>
      <c r="I34" s="32" t="s">
        <v>85</v>
      </c>
      <c r="J34" s="112" t="s">
        <v>105</v>
      </c>
      <c r="K34" s="81">
        <v>5700</v>
      </c>
      <c r="L34" s="81">
        <v>0</v>
      </c>
      <c r="M34" s="191">
        <v>180</v>
      </c>
      <c r="N34" s="191">
        <v>100</v>
      </c>
      <c r="O34" s="203">
        <f t="shared" ref="O34:O43" si="1">SUM(K34:N34)</f>
        <v>5980</v>
      </c>
    </row>
    <row r="35" spans="1:15" ht="15" customHeight="1">
      <c r="A35" s="114" t="s">
        <v>742</v>
      </c>
      <c r="B35" s="106" t="s">
        <v>678</v>
      </c>
      <c r="C35" s="33" t="s">
        <v>678</v>
      </c>
      <c r="D35" s="33" t="s">
        <v>559</v>
      </c>
      <c r="E35" s="32" t="s">
        <v>743</v>
      </c>
      <c r="F35" s="34">
        <v>46232</v>
      </c>
      <c r="G35" s="34">
        <v>46269</v>
      </c>
      <c r="H35" s="32" t="s">
        <v>89</v>
      </c>
      <c r="I35" s="32" t="s">
        <v>621</v>
      </c>
      <c r="J35" s="112" t="s">
        <v>105</v>
      </c>
      <c r="K35" s="81">
        <v>5000</v>
      </c>
      <c r="L35" s="81">
        <v>0</v>
      </c>
      <c r="M35" s="191">
        <v>0</v>
      </c>
      <c r="N35" s="191">
        <v>100</v>
      </c>
      <c r="O35" s="203">
        <f t="shared" si="1"/>
        <v>5100</v>
      </c>
    </row>
    <row r="36" spans="1:15" ht="15" customHeight="1">
      <c r="A36" s="114" t="s">
        <v>744</v>
      </c>
      <c r="B36" s="106" t="s">
        <v>678</v>
      </c>
      <c r="C36" s="33" t="s">
        <v>678</v>
      </c>
      <c r="D36" s="33" t="s">
        <v>559</v>
      </c>
      <c r="E36" s="32" t="s">
        <v>745</v>
      </c>
      <c r="F36" s="34">
        <v>46246</v>
      </c>
      <c r="G36" s="34">
        <v>46281</v>
      </c>
      <c r="H36" s="32" t="s">
        <v>89</v>
      </c>
      <c r="I36" s="32" t="s">
        <v>621</v>
      </c>
      <c r="J36" s="112" t="s">
        <v>105</v>
      </c>
      <c r="K36" s="81">
        <v>6450</v>
      </c>
      <c r="L36" s="81">
        <v>0</v>
      </c>
      <c r="M36" s="191">
        <v>0</v>
      </c>
      <c r="N36" s="191">
        <v>100</v>
      </c>
      <c r="O36" s="203">
        <f t="shared" si="1"/>
        <v>6550</v>
      </c>
    </row>
    <row r="37" spans="1:15" ht="15" customHeight="1">
      <c r="A37" s="114" t="s">
        <v>746</v>
      </c>
      <c r="B37" s="106" t="s">
        <v>678</v>
      </c>
      <c r="C37" s="33" t="s">
        <v>678</v>
      </c>
      <c r="D37" s="33" t="s">
        <v>559</v>
      </c>
      <c r="E37" s="32" t="s">
        <v>747</v>
      </c>
      <c r="F37" s="34">
        <v>46246</v>
      </c>
      <c r="G37" s="34">
        <v>46281</v>
      </c>
      <c r="H37" s="32" t="s">
        <v>89</v>
      </c>
      <c r="I37" s="32" t="s">
        <v>621</v>
      </c>
      <c r="J37" s="112" t="s">
        <v>105</v>
      </c>
      <c r="K37" s="81">
        <v>6450</v>
      </c>
      <c r="L37" s="81">
        <v>0</v>
      </c>
      <c r="M37" s="191">
        <v>0</v>
      </c>
      <c r="N37" s="191">
        <v>100</v>
      </c>
      <c r="O37" s="203">
        <f t="shared" si="1"/>
        <v>6550</v>
      </c>
    </row>
    <row r="38" spans="1:15" ht="15" customHeight="1">
      <c r="A38" s="114" t="s">
        <v>748</v>
      </c>
      <c r="B38" s="106" t="s">
        <v>678</v>
      </c>
      <c r="C38" s="33" t="s">
        <v>678</v>
      </c>
      <c r="D38" s="33" t="s">
        <v>559</v>
      </c>
      <c r="E38" s="32" t="s">
        <v>749</v>
      </c>
      <c r="F38" s="34">
        <v>46239</v>
      </c>
      <c r="G38" s="34">
        <v>46271</v>
      </c>
      <c r="H38" s="32" t="s">
        <v>89</v>
      </c>
      <c r="I38" s="32" t="s">
        <v>621</v>
      </c>
      <c r="J38" s="112" t="s">
        <v>105</v>
      </c>
      <c r="K38" s="81">
        <v>5600</v>
      </c>
      <c r="L38" s="81">
        <v>0</v>
      </c>
      <c r="M38" s="191">
        <v>180</v>
      </c>
      <c r="N38" s="191">
        <v>100</v>
      </c>
      <c r="O38" s="203">
        <f>SUM(K38:N38)</f>
        <v>5880</v>
      </c>
    </row>
    <row r="39" spans="1:15" ht="15" customHeight="1">
      <c r="A39" s="114" t="s">
        <v>750</v>
      </c>
      <c r="B39" s="106" t="s">
        <v>678</v>
      </c>
      <c r="C39" s="33" t="s">
        <v>678</v>
      </c>
      <c r="D39" s="33" t="s">
        <v>559</v>
      </c>
      <c r="E39" s="32" t="s">
        <v>751</v>
      </c>
      <c r="F39" s="34">
        <v>46235</v>
      </c>
      <c r="G39" s="34">
        <v>46273</v>
      </c>
      <c r="H39" s="32" t="s">
        <v>100</v>
      </c>
      <c r="I39" s="32" t="s">
        <v>85</v>
      </c>
      <c r="J39" s="112" t="s">
        <v>105</v>
      </c>
      <c r="K39" s="81">
        <v>5600</v>
      </c>
      <c r="L39" s="81">
        <v>0</v>
      </c>
      <c r="M39" s="191">
        <v>180</v>
      </c>
      <c r="N39" s="191">
        <v>100</v>
      </c>
      <c r="O39" s="203">
        <f t="shared" si="1"/>
        <v>5880</v>
      </c>
    </row>
    <row r="40" spans="1:15" ht="15" customHeight="1">
      <c r="A40" s="114" t="s">
        <v>752</v>
      </c>
      <c r="B40" s="106" t="s">
        <v>678</v>
      </c>
      <c r="C40" s="33" t="s">
        <v>678</v>
      </c>
      <c r="D40" s="33" t="s">
        <v>559</v>
      </c>
      <c r="E40" s="32" t="s">
        <v>753</v>
      </c>
      <c r="F40" s="34">
        <v>46239</v>
      </c>
      <c r="G40" s="34">
        <v>46277</v>
      </c>
      <c r="H40" s="32" t="s">
        <v>149</v>
      </c>
      <c r="I40" s="32" t="s">
        <v>621</v>
      </c>
      <c r="J40" s="112" t="s">
        <v>105</v>
      </c>
      <c r="K40" s="81">
        <f>5600+40</f>
        <v>5640</v>
      </c>
      <c r="L40" s="81">
        <v>0</v>
      </c>
      <c r="M40" s="191">
        <v>180</v>
      </c>
      <c r="N40" s="191">
        <v>100</v>
      </c>
      <c r="O40" s="203">
        <f t="shared" si="1"/>
        <v>5920</v>
      </c>
    </row>
    <row r="41" spans="1:15" ht="15" customHeight="1">
      <c r="A41" s="114" t="s">
        <v>754</v>
      </c>
      <c r="B41" s="106" t="s">
        <v>678</v>
      </c>
      <c r="C41" s="33" t="s">
        <v>678</v>
      </c>
      <c r="D41" s="33" t="s">
        <v>559</v>
      </c>
      <c r="E41" s="32" t="s">
        <v>755</v>
      </c>
      <c r="F41" s="34">
        <v>46239</v>
      </c>
      <c r="G41" s="34">
        <v>46277</v>
      </c>
      <c r="H41" s="32" t="s">
        <v>149</v>
      </c>
      <c r="I41" s="32" t="s">
        <v>621</v>
      </c>
      <c r="J41" s="112" t="s">
        <v>105</v>
      </c>
      <c r="K41" s="81">
        <f>5600+40</f>
        <v>5640</v>
      </c>
      <c r="L41" s="81">
        <v>0</v>
      </c>
      <c r="M41" s="191">
        <v>180</v>
      </c>
      <c r="N41" s="191">
        <v>100</v>
      </c>
      <c r="O41" s="203">
        <f t="shared" si="1"/>
        <v>5920</v>
      </c>
    </row>
    <row r="42" spans="1:15" ht="15" customHeight="1">
      <c r="A42" s="114" t="s">
        <v>756</v>
      </c>
      <c r="B42" s="106" t="s">
        <v>678</v>
      </c>
      <c r="C42" s="33" t="s">
        <v>678</v>
      </c>
      <c r="D42" s="33" t="s">
        <v>559</v>
      </c>
      <c r="E42" s="32" t="s">
        <v>757</v>
      </c>
      <c r="F42" s="34">
        <v>46239</v>
      </c>
      <c r="G42" s="34">
        <v>46277</v>
      </c>
      <c r="H42" s="32" t="s">
        <v>149</v>
      </c>
      <c r="I42" s="32" t="s">
        <v>621</v>
      </c>
      <c r="J42" s="112" t="s">
        <v>105</v>
      </c>
      <c r="K42" s="81">
        <f>5600+40</f>
        <v>5640</v>
      </c>
      <c r="L42" s="81">
        <v>0</v>
      </c>
      <c r="M42" s="191">
        <v>180</v>
      </c>
      <c r="N42" s="191">
        <v>100</v>
      </c>
      <c r="O42" s="203">
        <f t="shared" si="1"/>
        <v>5920</v>
      </c>
    </row>
    <row r="43" spans="1:15" ht="15" customHeight="1">
      <c r="A43" s="114" t="s">
        <v>758</v>
      </c>
      <c r="B43" s="106" t="s">
        <v>678</v>
      </c>
      <c r="C43" s="33" t="s">
        <v>678</v>
      </c>
      <c r="D43" s="33" t="s">
        <v>559</v>
      </c>
      <c r="E43" s="32" t="s">
        <v>759</v>
      </c>
      <c r="F43" s="34">
        <v>46239</v>
      </c>
      <c r="G43" s="34">
        <v>46277</v>
      </c>
      <c r="H43" s="32" t="s">
        <v>149</v>
      </c>
      <c r="I43" s="32" t="s">
        <v>621</v>
      </c>
      <c r="J43" s="112" t="s">
        <v>105</v>
      </c>
      <c r="K43" s="81">
        <f>5600+40</f>
        <v>5640</v>
      </c>
      <c r="L43" s="81">
        <v>0</v>
      </c>
      <c r="M43" s="191">
        <v>180</v>
      </c>
      <c r="N43" s="191">
        <v>100</v>
      </c>
      <c r="O43" s="203">
        <f t="shared" si="1"/>
        <v>5920</v>
      </c>
    </row>
    <row r="44" spans="1:15" ht="15" customHeight="1">
      <c r="A44" s="114" t="s">
        <v>760</v>
      </c>
      <c r="B44" s="106" t="s">
        <v>678</v>
      </c>
      <c r="C44" s="33" t="s">
        <v>678</v>
      </c>
      <c r="D44" s="33" t="s">
        <v>559</v>
      </c>
      <c r="E44" s="32" t="s">
        <v>761</v>
      </c>
      <c r="F44" s="34">
        <v>46239</v>
      </c>
      <c r="G44" s="34">
        <v>46277</v>
      </c>
      <c r="H44" s="32" t="s">
        <v>149</v>
      </c>
      <c r="I44" s="32" t="s">
        <v>621</v>
      </c>
      <c r="J44" s="112" t="s">
        <v>105</v>
      </c>
      <c r="K44" s="81">
        <f>5600+40</f>
        <v>5640</v>
      </c>
      <c r="L44" s="81">
        <v>0</v>
      </c>
      <c r="M44" s="191">
        <v>180</v>
      </c>
      <c r="N44" s="191">
        <v>100</v>
      </c>
      <c r="O44" s="203">
        <f>SUM(K44:N44)</f>
        <v>5920</v>
      </c>
    </row>
    <row r="45" spans="1:15" ht="15" customHeight="1">
      <c r="A45" s="114" t="s">
        <v>762</v>
      </c>
      <c r="B45" s="106" t="s">
        <v>678</v>
      </c>
      <c r="C45" s="33" t="s">
        <v>678</v>
      </c>
      <c r="D45" s="33" t="s">
        <v>559</v>
      </c>
      <c r="E45" s="32" t="s">
        <v>763</v>
      </c>
      <c r="F45" s="34">
        <v>46250</v>
      </c>
      <c r="G45" s="34">
        <v>46287</v>
      </c>
      <c r="H45" s="32" t="s">
        <v>149</v>
      </c>
      <c r="I45" s="32" t="s">
        <v>85</v>
      </c>
      <c r="J45" s="112" t="s">
        <v>105</v>
      </c>
      <c r="K45" s="81">
        <v>7400</v>
      </c>
      <c r="L45" s="81">
        <v>0</v>
      </c>
      <c r="M45" s="191">
        <v>180</v>
      </c>
      <c r="N45" s="191">
        <v>100</v>
      </c>
      <c r="O45" s="203">
        <f>SUM(K45:N45)</f>
        <v>7680</v>
      </c>
    </row>
    <row r="46" spans="1:15" ht="15" customHeight="1">
      <c r="A46" s="114" t="s">
        <v>764</v>
      </c>
      <c r="B46" s="106" t="s">
        <v>678</v>
      </c>
      <c r="C46" s="33" t="s">
        <v>678</v>
      </c>
      <c r="D46" s="33" t="s">
        <v>559</v>
      </c>
      <c r="E46" s="32" t="s">
        <v>765</v>
      </c>
      <c r="F46" s="34">
        <v>46269</v>
      </c>
      <c r="G46" s="34">
        <v>46294</v>
      </c>
      <c r="H46" s="32" t="s">
        <v>100</v>
      </c>
      <c r="I46" s="32" t="s">
        <v>85</v>
      </c>
      <c r="J46" s="112" t="s">
        <v>105</v>
      </c>
      <c r="K46" s="81">
        <v>8100</v>
      </c>
      <c r="L46" s="81">
        <v>0</v>
      </c>
      <c r="M46" s="191">
        <v>180</v>
      </c>
      <c r="N46" s="191">
        <v>100</v>
      </c>
      <c r="O46" s="203">
        <f>SUM(K46:N46)</f>
        <v>8380</v>
      </c>
    </row>
  </sheetData>
  <sortState xmlns:xlrd2="http://schemas.microsoft.com/office/spreadsheetml/2017/richdata2" ref="A3:O32">
    <sortCondition ref="G3:G32"/>
  </sortState>
  <phoneticPr fontId="32" type="noConversion"/>
  <conditionalFormatting sqref="A1:A1048576">
    <cfRule type="duplicateValues" dxfId="3042" priority="1"/>
    <cfRule type="duplicateValues" dxfId="3041" priority="2"/>
    <cfRule type="duplicateValues" dxfId="3040" priority="38"/>
  </conditionalFormatting>
  <conditionalFormatting sqref="A1:B2">
    <cfRule type="duplicateValues" dxfId="3039" priority="1521"/>
  </conditionalFormatting>
  <conditionalFormatting sqref="E1:E1048576">
    <cfRule type="duplicateValues" dxfId="3038" priority="29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14A5-6FD4-44F3-BAB1-43697D239207}">
  <sheetPr codeName="Hoja10" filterMode="1">
    <tabColor rgb="FFFFFF00"/>
  </sheetPr>
  <dimension ref="A1:S273"/>
  <sheetViews>
    <sheetView topLeftCell="A252" zoomScaleNormal="100" workbookViewId="0">
      <selection activeCell="A263" sqref="A263:XFD263"/>
    </sheetView>
  </sheetViews>
  <sheetFormatPr defaultColWidth="11.42578125" defaultRowHeight="15" customHeight="1"/>
  <cols>
    <col min="1" max="1" width="23.5703125" style="90" customWidth="1"/>
    <col min="2" max="2" width="19.7109375" style="91" bestFit="1" customWidth="1"/>
    <col min="3" max="3" width="13.42578125" style="57" bestFit="1" customWidth="1"/>
    <col min="4" max="4" width="9" style="57" bestFit="1" customWidth="1"/>
    <col min="5" max="5" width="13.7109375" style="92" bestFit="1" customWidth="1"/>
    <col min="6" max="6" width="7.140625" style="92" customWidth="1"/>
    <col min="7" max="7" width="7.42578125" style="57" customWidth="1"/>
    <col min="8" max="8" width="12.7109375" style="57" bestFit="1" customWidth="1"/>
    <col min="9" max="9" width="12.7109375" style="58" bestFit="1" customWidth="1"/>
    <col min="10" max="10" width="15.7109375" style="131" customWidth="1"/>
    <col min="11" max="11" width="15.7109375" style="52" bestFit="1" customWidth="1"/>
    <col min="12" max="13" width="12" style="157" customWidth="1"/>
    <col min="14" max="15" width="8.7109375" customWidth="1"/>
    <col min="16" max="16" width="16.85546875" style="57" bestFit="1" customWidth="1"/>
    <col min="17" max="17" width="11.42578125" style="59"/>
  </cols>
  <sheetData>
    <row r="1" spans="1:19" ht="24" customHeight="1">
      <c r="C1" s="91"/>
      <c r="D1" s="91"/>
      <c r="E1" s="57"/>
      <c r="G1" s="92"/>
      <c r="I1" s="57"/>
      <c r="J1" s="98"/>
      <c r="K1" s="130"/>
      <c r="L1" s="156"/>
      <c r="M1" s="156"/>
      <c r="N1" s="100"/>
      <c r="O1" s="138"/>
      <c r="P1" s="208">
        <f>SUM(N3:N344)-SUM(R4:R98)</f>
        <v>381370</v>
      </c>
      <c r="Q1" s="57"/>
      <c r="R1" s="59"/>
    </row>
    <row r="2" spans="1:19" ht="27.6">
      <c r="A2" s="39" t="s">
        <v>45</v>
      </c>
      <c r="B2" s="39" t="s">
        <v>491</v>
      </c>
      <c r="C2" s="39" t="s">
        <v>47</v>
      </c>
      <c r="D2" s="39" t="s">
        <v>48</v>
      </c>
      <c r="E2" s="39" t="s">
        <v>49</v>
      </c>
      <c r="F2" s="60" t="s">
        <v>50</v>
      </c>
      <c r="G2" s="60" t="s">
        <v>51</v>
      </c>
      <c r="H2" s="39" t="s">
        <v>52</v>
      </c>
      <c r="I2" s="40" t="s">
        <v>53</v>
      </c>
      <c r="J2" s="40" t="s">
        <v>54</v>
      </c>
      <c r="K2" s="46" t="s">
        <v>58</v>
      </c>
      <c r="L2" s="101" t="s">
        <v>766</v>
      </c>
      <c r="M2" s="137" t="s">
        <v>59</v>
      </c>
      <c r="N2" s="137" t="s">
        <v>55</v>
      </c>
      <c r="O2" s="136"/>
      <c r="P2" s="462"/>
      <c r="Q2" s="57"/>
      <c r="R2" s="59"/>
    </row>
    <row r="3" spans="1:19" ht="15" hidden="1" customHeight="1">
      <c r="A3" s="210" t="s">
        <v>767</v>
      </c>
      <c r="B3" s="211" t="s">
        <v>768</v>
      </c>
      <c r="C3" s="8" t="s">
        <v>769</v>
      </c>
      <c r="D3" s="7" t="s">
        <v>559</v>
      </c>
      <c r="E3" s="7" t="s">
        <v>770</v>
      </c>
      <c r="F3" s="9">
        <v>46004</v>
      </c>
      <c r="G3" s="9">
        <v>45664</v>
      </c>
      <c r="H3" s="7" t="s">
        <v>84</v>
      </c>
      <c r="I3" s="212" t="s">
        <v>316</v>
      </c>
      <c r="J3" s="213" t="s">
        <v>105</v>
      </c>
      <c r="K3" s="12">
        <v>2250</v>
      </c>
      <c r="L3" s="214">
        <v>180</v>
      </c>
      <c r="M3" s="324">
        <v>0</v>
      </c>
      <c r="N3" s="215">
        <f>SUM(K3+L3)</f>
        <v>2430</v>
      </c>
      <c r="O3" s="216">
        <v>0</v>
      </c>
      <c r="P3" s="462"/>
      <c r="Q3" s="132" t="s">
        <v>56</v>
      </c>
      <c r="R3" s="133" t="s">
        <v>57</v>
      </c>
    </row>
    <row r="4" spans="1:19" ht="15" hidden="1" customHeight="1">
      <c r="A4" s="210" t="s">
        <v>771</v>
      </c>
      <c r="B4" s="211" t="s">
        <v>772</v>
      </c>
      <c r="C4" s="8" t="s">
        <v>769</v>
      </c>
      <c r="D4" s="7" t="s">
        <v>559</v>
      </c>
      <c r="E4" s="7" t="s">
        <v>773</v>
      </c>
      <c r="F4" s="9">
        <v>45668</v>
      </c>
      <c r="G4" s="9">
        <v>45691</v>
      </c>
      <c r="H4" s="7" t="s">
        <v>482</v>
      </c>
      <c r="I4" s="212" t="s">
        <v>66</v>
      </c>
      <c r="J4" s="213" t="s">
        <v>105</v>
      </c>
      <c r="K4" s="12">
        <v>1500</v>
      </c>
      <c r="L4" s="214">
        <v>0</v>
      </c>
      <c r="M4" s="324">
        <v>0</v>
      </c>
      <c r="N4" s="215">
        <f>SUM(K4:L4)</f>
        <v>1500</v>
      </c>
      <c r="O4" s="216">
        <v>0</v>
      </c>
      <c r="P4"/>
      <c r="Q4" s="74">
        <v>46080</v>
      </c>
      <c r="R4" s="209">
        <v>43840</v>
      </c>
    </row>
    <row r="5" spans="1:19" ht="15" hidden="1" customHeight="1">
      <c r="A5" s="210" t="s">
        <v>774</v>
      </c>
      <c r="B5" s="211" t="s">
        <v>772</v>
      </c>
      <c r="C5" s="8" t="s">
        <v>769</v>
      </c>
      <c r="D5" s="7" t="s">
        <v>559</v>
      </c>
      <c r="E5" s="7" t="s">
        <v>775</v>
      </c>
      <c r="F5" s="9">
        <v>46033</v>
      </c>
      <c r="G5" s="9">
        <v>45691</v>
      </c>
      <c r="H5" s="7" t="s">
        <v>149</v>
      </c>
      <c r="I5" s="212" t="s">
        <v>66</v>
      </c>
      <c r="J5" s="213" t="s">
        <v>105</v>
      </c>
      <c r="K5" s="12">
        <v>1500</v>
      </c>
      <c r="L5" s="214">
        <v>0</v>
      </c>
      <c r="M5" s="324">
        <v>0</v>
      </c>
      <c r="N5" s="215">
        <f>SUM(K5:L5)</f>
        <v>1500</v>
      </c>
      <c r="O5" s="216">
        <v>0</v>
      </c>
      <c r="P5"/>
      <c r="Q5" s="74">
        <v>46147</v>
      </c>
      <c r="R5" s="209">
        <v>149680</v>
      </c>
    </row>
    <row r="6" spans="1:19" ht="15" hidden="1" customHeight="1">
      <c r="A6" s="210" t="s">
        <v>776</v>
      </c>
      <c r="B6" s="211" t="s">
        <v>768</v>
      </c>
      <c r="C6" s="8" t="s">
        <v>769</v>
      </c>
      <c r="D6" s="7" t="s">
        <v>559</v>
      </c>
      <c r="E6" s="7" t="s">
        <v>777</v>
      </c>
      <c r="F6" s="9">
        <v>45668</v>
      </c>
      <c r="G6" s="9">
        <v>45691</v>
      </c>
      <c r="H6" s="7" t="s">
        <v>149</v>
      </c>
      <c r="I6" s="212" t="s">
        <v>66</v>
      </c>
      <c r="J6" s="213" t="s">
        <v>105</v>
      </c>
      <c r="K6" s="12">
        <v>1500</v>
      </c>
      <c r="L6" s="214">
        <v>180</v>
      </c>
      <c r="M6" s="324">
        <v>0</v>
      </c>
      <c r="N6" s="215">
        <f>SUM(K6:L6)</f>
        <v>1680</v>
      </c>
      <c r="O6" s="216">
        <v>0</v>
      </c>
      <c r="P6"/>
      <c r="Q6" s="74">
        <v>46188</v>
      </c>
      <c r="R6" s="209">
        <v>74700</v>
      </c>
    </row>
    <row r="7" spans="1:19" ht="15" hidden="1" customHeight="1">
      <c r="A7" s="210" t="s">
        <v>778</v>
      </c>
      <c r="B7" s="211" t="s">
        <v>779</v>
      </c>
      <c r="C7" s="8" t="s">
        <v>769</v>
      </c>
      <c r="D7" s="7" t="s">
        <v>559</v>
      </c>
      <c r="E7" s="7" t="s">
        <v>780</v>
      </c>
      <c r="F7" s="9">
        <v>46029</v>
      </c>
      <c r="G7" s="9">
        <v>45698</v>
      </c>
      <c r="H7" s="7" t="s">
        <v>149</v>
      </c>
      <c r="I7" s="212" t="s">
        <v>621</v>
      </c>
      <c r="J7" s="213" t="s">
        <v>105</v>
      </c>
      <c r="K7" s="12">
        <v>1600</v>
      </c>
      <c r="L7" s="214">
        <v>0</v>
      </c>
      <c r="M7" s="324">
        <v>0</v>
      </c>
      <c r="N7" s="215">
        <f>SUM(K7:L7)</f>
        <v>1600</v>
      </c>
      <c r="O7" s="216">
        <v>0</v>
      </c>
      <c r="P7"/>
      <c r="Q7" s="74">
        <v>46205</v>
      </c>
      <c r="R7" s="209">
        <v>76860</v>
      </c>
    </row>
    <row r="8" spans="1:19" ht="15" hidden="1" customHeight="1">
      <c r="A8" s="210" t="s">
        <v>781</v>
      </c>
      <c r="B8" s="211" t="s">
        <v>782</v>
      </c>
      <c r="C8" s="8" t="s">
        <v>769</v>
      </c>
      <c r="D8" s="7" t="s">
        <v>559</v>
      </c>
      <c r="E8" s="7" t="s">
        <v>783</v>
      </c>
      <c r="F8" s="9">
        <v>45668</v>
      </c>
      <c r="G8" s="9">
        <v>46056</v>
      </c>
      <c r="H8" s="7" t="s">
        <v>482</v>
      </c>
      <c r="I8" s="212" t="s">
        <v>66</v>
      </c>
      <c r="J8" s="213" t="s">
        <v>105</v>
      </c>
      <c r="K8" s="12">
        <v>1500</v>
      </c>
      <c r="L8" s="214">
        <v>180</v>
      </c>
      <c r="M8" s="324">
        <v>0</v>
      </c>
      <c r="N8" s="215">
        <f>SUM(K8:L8)</f>
        <v>1680</v>
      </c>
      <c r="O8" s="216">
        <v>0</v>
      </c>
      <c r="P8"/>
      <c r="Q8" s="74">
        <v>46219</v>
      </c>
      <c r="R8" s="209">
        <v>55800</v>
      </c>
    </row>
    <row r="9" spans="1:19" ht="15" hidden="1" customHeight="1">
      <c r="A9" s="210" t="s">
        <v>784</v>
      </c>
      <c r="B9" s="211" t="s">
        <v>772</v>
      </c>
      <c r="C9" s="8" t="s">
        <v>769</v>
      </c>
      <c r="D9" s="7" t="s">
        <v>559</v>
      </c>
      <c r="E9" s="7" t="s">
        <v>785</v>
      </c>
      <c r="F9" s="9">
        <v>46033</v>
      </c>
      <c r="G9" s="9">
        <v>46056</v>
      </c>
      <c r="H9" s="7" t="s">
        <v>149</v>
      </c>
      <c r="I9" s="212" t="s">
        <v>66</v>
      </c>
      <c r="J9" s="213" t="s">
        <v>105</v>
      </c>
      <c r="K9" s="12">
        <v>1500</v>
      </c>
      <c r="L9" s="214">
        <v>0</v>
      </c>
      <c r="M9" s="324">
        <v>0</v>
      </c>
      <c r="N9" s="215">
        <f>SUM(K9+L9)</f>
        <v>1500</v>
      </c>
      <c r="O9" s="216">
        <v>0</v>
      </c>
      <c r="P9"/>
      <c r="Q9" s="74">
        <v>46227</v>
      </c>
      <c r="R9" s="209">
        <v>151480</v>
      </c>
    </row>
    <row r="10" spans="1:19" ht="15" hidden="1" customHeight="1">
      <c r="A10" s="210" t="s">
        <v>786</v>
      </c>
      <c r="B10" s="211" t="s">
        <v>787</v>
      </c>
      <c r="C10" s="8" t="s">
        <v>769</v>
      </c>
      <c r="D10" s="7" t="s">
        <v>559</v>
      </c>
      <c r="E10" s="7" t="s">
        <v>788</v>
      </c>
      <c r="F10" s="9">
        <v>46032</v>
      </c>
      <c r="G10" s="9">
        <v>46058</v>
      </c>
      <c r="H10" s="7" t="s">
        <v>507</v>
      </c>
      <c r="I10" s="212" t="s">
        <v>85</v>
      </c>
      <c r="J10" s="213" t="s">
        <v>105</v>
      </c>
      <c r="K10" s="12">
        <v>1550</v>
      </c>
      <c r="L10" s="214">
        <v>180</v>
      </c>
      <c r="M10" s="324">
        <v>0</v>
      </c>
      <c r="N10" s="215">
        <f t="shared" ref="N10:N17" si="0">SUM(K10:L10)</f>
        <v>1730</v>
      </c>
      <c r="O10" s="216">
        <v>0</v>
      </c>
      <c r="P10"/>
      <c r="Q10" s="74">
        <v>46255</v>
      </c>
      <c r="R10" s="209">
        <v>103991</v>
      </c>
    </row>
    <row r="11" spans="1:19" ht="15" customHeight="1">
      <c r="A11" s="210" t="s">
        <v>789</v>
      </c>
      <c r="B11" s="211" t="s">
        <v>790</v>
      </c>
      <c r="C11" s="8" t="s">
        <v>769</v>
      </c>
      <c r="D11" s="7" t="s">
        <v>559</v>
      </c>
      <c r="E11" s="7" t="s">
        <v>791</v>
      </c>
      <c r="F11" s="9">
        <v>45667</v>
      </c>
      <c r="G11" s="9">
        <v>46058</v>
      </c>
      <c r="H11" s="7" t="s">
        <v>507</v>
      </c>
      <c r="I11" s="212" t="s">
        <v>85</v>
      </c>
      <c r="J11" s="213" t="s">
        <v>105</v>
      </c>
      <c r="K11" s="12">
        <v>1550</v>
      </c>
      <c r="L11" s="214">
        <v>180</v>
      </c>
      <c r="M11" s="324">
        <v>0</v>
      </c>
      <c r="N11" s="215">
        <f t="shared" si="0"/>
        <v>1730</v>
      </c>
      <c r="O11" s="216">
        <v>0</v>
      </c>
      <c r="P11"/>
      <c r="Q11" s="74">
        <v>46272</v>
      </c>
      <c r="R11" s="209">
        <v>153220</v>
      </c>
    </row>
    <row r="12" spans="1:19" ht="15" hidden="1" customHeight="1">
      <c r="A12" s="210" t="s">
        <v>792</v>
      </c>
      <c r="B12" s="211" t="s">
        <v>782</v>
      </c>
      <c r="C12" s="8" t="s">
        <v>769</v>
      </c>
      <c r="D12" s="7" t="s">
        <v>559</v>
      </c>
      <c r="E12" s="7" t="s">
        <v>793</v>
      </c>
      <c r="F12" s="9">
        <v>46036</v>
      </c>
      <c r="G12" s="9">
        <v>46064</v>
      </c>
      <c r="H12" s="7" t="s">
        <v>84</v>
      </c>
      <c r="I12" s="212" t="s">
        <v>240</v>
      </c>
      <c r="J12" s="213" t="s">
        <v>105</v>
      </c>
      <c r="K12" s="12">
        <v>1500</v>
      </c>
      <c r="L12" s="214">
        <v>0</v>
      </c>
      <c r="M12" s="324">
        <v>0</v>
      </c>
      <c r="N12" s="215">
        <f t="shared" si="0"/>
        <v>1500</v>
      </c>
      <c r="O12" s="216">
        <v>0</v>
      </c>
      <c r="P12"/>
      <c r="Q12" s="74">
        <v>46289</v>
      </c>
      <c r="R12" s="209">
        <v>75020</v>
      </c>
    </row>
    <row r="13" spans="1:19" ht="15" hidden="1" customHeight="1">
      <c r="A13" s="210" t="s">
        <v>794</v>
      </c>
      <c r="B13" s="211" t="s">
        <v>782</v>
      </c>
      <c r="C13" s="8" t="s">
        <v>769</v>
      </c>
      <c r="D13" s="7" t="s">
        <v>559</v>
      </c>
      <c r="E13" s="7" t="s">
        <v>795</v>
      </c>
      <c r="F13" s="9">
        <v>46042</v>
      </c>
      <c r="G13" s="9">
        <v>46068</v>
      </c>
      <c r="H13" s="7" t="s">
        <v>100</v>
      </c>
      <c r="I13" s="212" t="s">
        <v>66</v>
      </c>
      <c r="J13" s="213" t="s">
        <v>105</v>
      </c>
      <c r="K13" s="12">
        <v>1300</v>
      </c>
      <c r="L13" s="214">
        <v>180</v>
      </c>
      <c r="M13" s="324">
        <v>0</v>
      </c>
      <c r="N13" s="215">
        <f t="shared" si="0"/>
        <v>1480</v>
      </c>
      <c r="O13" s="216">
        <v>0</v>
      </c>
      <c r="P13"/>
      <c r="Q13" s="74">
        <v>46293</v>
      </c>
      <c r="R13" s="209">
        <v>100212</v>
      </c>
    </row>
    <row r="14" spans="1:19" ht="15" hidden="1" customHeight="1">
      <c r="A14" s="210" t="s">
        <v>796</v>
      </c>
      <c r="B14" s="211" t="s">
        <v>782</v>
      </c>
      <c r="C14" s="8" t="s">
        <v>769</v>
      </c>
      <c r="D14" s="7" t="s">
        <v>559</v>
      </c>
      <c r="E14" s="7" t="s">
        <v>797</v>
      </c>
      <c r="F14" s="9">
        <v>46042</v>
      </c>
      <c r="G14" s="9">
        <v>46068</v>
      </c>
      <c r="H14" s="7" t="s">
        <v>100</v>
      </c>
      <c r="I14" s="212" t="s">
        <v>66</v>
      </c>
      <c r="J14" s="213" t="s">
        <v>105</v>
      </c>
      <c r="K14" s="12">
        <v>1300</v>
      </c>
      <c r="L14" s="214">
        <v>180</v>
      </c>
      <c r="M14" s="324">
        <v>0</v>
      </c>
      <c r="N14" s="215">
        <f t="shared" si="0"/>
        <v>1480</v>
      </c>
      <c r="O14" s="216">
        <v>0</v>
      </c>
      <c r="P14"/>
      <c r="Q14"/>
    </row>
    <row r="15" spans="1:19" ht="15" hidden="1" customHeight="1">
      <c r="A15" s="210" t="s">
        <v>798</v>
      </c>
      <c r="B15" s="211" t="s">
        <v>782</v>
      </c>
      <c r="C15" s="8" t="s">
        <v>769</v>
      </c>
      <c r="D15" s="7" t="s">
        <v>559</v>
      </c>
      <c r="E15" s="7" t="s">
        <v>799</v>
      </c>
      <c r="F15" s="9">
        <v>46038</v>
      </c>
      <c r="G15" s="9">
        <v>46068</v>
      </c>
      <c r="H15" s="7" t="s">
        <v>100</v>
      </c>
      <c r="I15" s="212" t="s">
        <v>510</v>
      </c>
      <c r="J15" s="213" t="s">
        <v>105</v>
      </c>
      <c r="K15" s="12">
        <v>1350</v>
      </c>
      <c r="L15" s="214">
        <v>180</v>
      </c>
      <c r="M15" s="324">
        <v>0</v>
      </c>
      <c r="N15" s="215">
        <f t="shared" si="0"/>
        <v>1530</v>
      </c>
      <c r="O15" s="216">
        <v>0</v>
      </c>
      <c r="P15"/>
      <c r="Q15"/>
    </row>
    <row r="16" spans="1:19" ht="15" hidden="1" customHeight="1">
      <c r="A16" s="210" t="s">
        <v>800</v>
      </c>
      <c r="B16" s="211" t="s">
        <v>801</v>
      </c>
      <c r="C16" s="8" t="s">
        <v>769</v>
      </c>
      <c r="D16" s="7" t="s">
        <v>559</v>
      </c>
      <c r="E16" s="7" t="s">
        <v>802</v>
      </c>
      <c r="F16" s="9">
        <v>45673</v>
      </c>
      <c r="G16" s="9">
        <v>46071</v>
      </c>
      <c r="H16" s="7" t="s">
        <v>149</v>
      </c>
      <c r="I16" s="212" t="s">
        <v>621</v>
      </c>
      <c r="J16" s="213" t="s">
        <v>105</v>
      </c>
      <c r="K16" s="12">
        <v>1300</v>
      </c>
      <c r="L16" s="214">
        <v>0</v>
      </c>
      <c r="M16" s="324">
        <v>0</v>
      </c>
      <c r="N16" s="215">
        <f t="shared" si="0"/>
        <v>1300</v>
      </c>
      <c r="O16" s="216">
        <v>0</v>
      </c>
      <c r="P16"/>
      <c r="Q16"/>
      <c r="S16" s="1"/>
    </row>
    <row r="17" spans="1:17" ht="15" hidden="1" customHeight="1">
      <c r="A17" s="210" t="s">
        <v>803</v>
      </c>
      <c r="B17" s="211" t="s">
        <v>804</v>
      </c>
      <c r="C17" s="8" t="s">
        <v>769</v>
      </c>
      <c r="D17" s="7" t="s">
        <v>559</v>
      </c>
      <c r="E17" s="7" t="s">
        <v>805</v>
      </c>
      <c r="F17" s="9">
        <v>46036</v>
      </c>
      <c r="G17" s="9">
        <v>46074</v>
      </c>
      <c r="H17" s="7" t="s">
        <v>149</v>
      </c>
      <c r="I17" s="212" t="s">
        <v>621</v>
      </c>
      <c r="J17" s="213" t="s">
        <v>105</v>
      </c>
      <c r="K17" s="12">
        <v>1300</v>
      </c>
      <c r="L17" s="214">
        <v>100</v>
      </c>
      <c r="M17" s="324">
        <v>0</v>
      </c>
      <c r="N17" s="215">
        <f t="shared" si="0"/>
        <v>1400</v>
      </c>
      <c r="O17" s="216">
        <v>0</v>
      </c>
      <c r="P17"/>
      <c r="Q17"/>
    </row>
    <row r="18" spans="1:17" ht="15" hidden="1" customHeight="1">
      <c r="A18" s="210" t="s">
        <v>806</v>
      </c>
      <c r="B18" s="211" t="s">
        <v>768</v>
      </c>
      <c r="C18" s="8" t="s">
        <v>769</v>
      </c>
      <c r="D18" s="7" t="s">
        <v>559</v>
      </c>
      <c r="E18" s="7" t="s">
        <v>807</v>
      </c>
      <c r="F18" s="9">
        <v>46043</v>
      </c>
      <c r="G18" s="9">
        <v>46076</v>
      </c>
      <c r="H18" s="7" t="s">
        <v>149</v>
      </c>
      <c r="I18" s="212" t="s">
        <v>645</v>
      </c>
      <c r="J18" s="213" t="s">
        <v>105</v>
      </c>
      <c r="K18" s="12">
        <v>1250</v>
      </c>
      <c r="L18" s="214">
        <v>180</v>
      </c>
      <c r="M18" s="324">
        <v>0</v>
      </c>
      <c r="N18" s="215">
        <f t="shared" ref="N18:N49" si="1">SUM(K18+L18)</f>
        <v>1430</v>
      </c>
      <c r="O18" s="216">
        <v>0</v>
      </c>
      <c r="P18"/>
      <c r="Q18"/>
    </row>
    <row r="19" spans="1:17" ht="15" hidden="1" customHeight="1">
      <c r="A19" s="210" t="s">
        <v>808</v>
      </c>
      <c r="B19" s="211" t="s">
        <v>782</v>
      </c>
      <c r="C19" s="8" t="s">
        <v>769</v>
      </c>
      <c r="D19" s="7" t="s">
        <v>559</v>
      </c>
      <c r="E19" s="7" t="s">
        <v>809</v>
      </c>
      <c r="F19" s="9">
        <v>46047</v>
      </c>
      <c r="G19" s="9">
        <v>46078</v>
      </c>
      <c r="H19" s="7" t="s">
        <v>507</v>
      </c>
      <c r="I19" s="212" t="s">
        <v>648</v>
      </c>
      <c r="J19" s="213" t="s">
        <v>105</v>
      </c>
      <c r="K19" s="12">
        <v>1350</v>
      </c>
      <c r="L19" s="214">
        <v>180</v>
      </c>
      <c r="M19" s="324">
        <v>0</v>
      </c>
      <c r="N19" s="215">
        <f t="shared" si="1"/>
        <v>1530</v>
      </c>
      <c r="O19" s="216">
        <v>0</v>
      </c>
      <c r="P19"/>
      <c r="Q19"/>
    </row>
    <row r="20" spans="1:17" ht="15" hidden="1" customHeight="1">
      <c r="A20" s="210" t="s">
        <v>810</v>
      </c>
      <c r="B20" s="211" t="s">
        <v>782</v>
      </c>
      <c r="C20" s="8" t="s">
        <v>769</v>
      </c>
      <c r="D20" s="7" t="s">
        <v>559</v>
      </c>
      <c r="E20" s="7" t="s">
        <v>811</v>
      </c>
      <c r="F20" s="9">
        <v>46047</v>
      </c>
      <c r="G20" s="9">
        <v>46078</v>
      </c>
      <c r="H20" s="7" t="s">
        <v>507</v>
      </c>
      <c r="I20" s="212" t="s">
        <v>648</v>
      </c>
      <c r="J20" s="213" t="s">
        <v>105</v>
      </c>
      <c r="K20" s="12">
        <v>1350</v>
      </c>
      <c r="L20" s="214">
        <v>180</v>
      </c>
      <c r="M20" s="324">
        <v>0</v>
      </c>
      <c r="N20" s="215">
        <f t="shared" si="1"/>
        <v>1530</v>
      </c>
      <c r="O20" s="216">
        <v>0</v>
      </c>
      <c r="P20"/>
      <c r="Q20"/>
    </row>
    <row r="21" spans="1:17" ht="15" hidden="1" customHeight="1">
      <c r="A21" s="210" t="s">
        <v>812</v>
      </c>
      <c r="B21" s="211" t="s">
        <v>768</v>
      </c>
      <c r="C21" s="8" t="s">
        <v>769</v>
      </c>
      <c r="D21" s="7" t="s">
        <v>559</v>
      </c>
      <c r="E21" s="7" t="s">
        <v>813</v>
      </c>
      <c r="F21" s="9">
        <v>46054</v>
      </c>
      <c r="G21" s="9">
        <v>46079</v>
      </c>
      <c r="H21" s="7" t="s">
        <v>482</v>
      </c>
      <c r="I21" s="212" t="s">
        <v>66</v>
      </c>
      <c r="J21" s="213" t="s">
        <v>105</v>
      </c>
      <c r="K21" s="12">
        <v>1450</v>
      </c>
      <c r="L21" s="214">
        <v>180</v>
      </c>
      <c r="M21" s="324">
        <v>0</v>
      </c>
      <c r="N21" s="215">
        <f t="shared" si="1"/>
        <v>1630</v>
      </c>
      <c r="O21" s="216">
        <v>0</v>
      </c>
      <c r="P21"/>
      <c r="Q21"/>
    </row>
    <row r="22" spans="1:17" ht="15" customHeight="1">
      <c r="A22" s="210" t="s">
        <v>814</v>
      </c>
      <c r="B22" s="211" t="s">
        <v>815</v>
      </c>
      <c r="C22" s="8" t="s">
        <v>769</v>
      </c>
      <c r="D22" s="7" t="s">
        <v>559</v>
      </c>
      <c r="E22" s="7" t="s">
        <v>816</v>
      </c>
      <c r="F22" s="9">
        <v>46054</v>
      </c>
      <c r="G22" s="9">
        <v>46079</v>
      </c>
      <c r="H22" s="7" t="s">
        <v>149</v>
      </c>
      <c r="I22" s="212" t="s">
        <v>66</v>
      </c>
      <c r="J22" s="213" t="s">
        <v>105</v>
      </c>
      <c r="K22" s="12">
        <v>1400</v>
      </c>
      <c r="L22" s="214">
        <v>0</v>
      </c>
      <c r="M22" s="324">
        <v>0</v>
      </c>
      <c r="N22" s="215">
        <f t="shared" si="1"/>
        <v>1400</v>
      </c>
      <c r="O22" s="216">
        <v>0</v>
      </c>
      <c r="P22"/>
      <c r="Q22"/>
    </row>
    <row r="23" spans="1:17" ht="15" customHeight="1">
      <c r="A23" s="210" t="s">
        <v>817</v>
      </c>
      <c r="B23" s="211" t="s">
        <v>815</v>
      </c>
      <c r="C23" s="8" t="s">
        <v>769</v>
      </c>
      <c r="D23" s="7" t="s">
        <v>559</v>
      </c>
      <c r="E23" s="7" t="s">
        <v>818</v>
      </c>
      <c r="F23" s="9">
        <v>46054</v>
      </c>
      <c r="G23" s="9">
        <v>46079</v>
      </c>
      <c r="H23" s="7" t="s">
        <v>149</v>
      </c>
      <c r="I23" s="212" t="s">
        <v>66</v>
      </c>
      <c r="J23" s="213" t="s">
        <v>105</v>
      </c>
      <c r="K23" s="12">
        <v>1400</v>
      </c>
      <c r="L23" s="214">
        <v>0</v>
      </c>
      <c r="M23" s="324">
        <v>0</v>
      </c>
      <c r="N23" s="215">
        <f t="shared" si="1"/>
        <v>1400</v>
      </c>
      <c r="O23" s="216">
        <v>0</v>
      </c>
      <c r="P23"/>
      <c r="Q23"/>
    </row>
    <row r="24" spans="1:17" ht="15" customHeight="1">
      <c r="A24" s="210" t="s">
        <v>819</v>
      </c>
      <c r="B24" s="211" t="s">
        <v>815</v>
      </c>
      <c r="C24" s="8" t="s">
        <v>769</v>
      </c>
      <c r="D24" s="7" t="s">
        <v>559</v>
      </c>
      <c r="E24" s="7" t="s">
        <v>820</v>
      </c>
      <c r="F24" s="9">
        <v>46054</v>
      </c>
      <c r="G24" s="9">
        <v>46079</v>
      </c>
      <c r="H24" s="7" t="s">
        <v>149</v>
      </c>
      <c r="I24" s="212" t="s">
        <v>66</v>
      </c>
      <c r="J24" s="213" t="s">
        <v>105</v>
      </c>
      <c r="K24" s="12">
        <v>1400</v>
      </c>
      <c r="L24" s="214">
        <v>0</v>
      </c>
      <c r="M24" s="324">
        <v>0</v>
      </c>
      <c r="N24" s="215">
        <f t="shared" si="1"/>
        <v>1400</v>
      </c>
      <c r="O24" s="216">
        <v>0</v>
      </c>
      <c r="P24"/>
      <c r="Q24"/>
    </row>
    <row r="25" spans="1:17" ht="15" hidden="1" customHeight="1">
      <c r="A25" s="210" t="s">
        <v>821</v>
      </c>
      <c r="B25" s="211" t="s">
        <v>822</v>
      </c>
      <c r="C25" s="8" t="s">
        <v>769</v>
      </c>
      <c r="D25" s="7" t="s">
        <v>559</v>
      </c>
      <c r="E25" s="7" t="s">
        <v>823</v>
      </c>
      <c r="F25" s="9">
        <v>46054</v>
      </c>
      <c r="G25" s="9">
        <v>46082</v>
      </c>
      <c r="H25" s="7" t="s">
        <v>100</v>
      </c>
      <c r="I25" s="212" t="s">
        <v>66</v>
      </c>
      <c r="J25" s="213" t="s">
        <v>105</v>
      </c>
      <c r="K25" s="12">
        <v>1400</v>
      </c>
      <c r="L25" s="214">
        <v>180</v>
      </c>
      <c r="M25" s="324">
        <v>0</v>
      </c>
      <c r="N25" s="215">
        <f t="shared" si="1"/>
        <v>1580</v>
      </c>
      <c r="O25" s="216">
        <v>0</v>
      </c>
      <c r="P25"/>
      <c r="Q25"/>
    </row>
    <row r="26" spans="1:17" ht="15" hidden="1" customHeight="1">
      <c r="A26" s="210" t="s">
        <v>824</v>
      </c>
      <c r="B26" s="211" t="s">
        <v>822</v>
      </c>
      <c r="C26" s="8" t="s">
        <v>769</v>
      </c>
      <c r="D26" s="7" t="s">
        <v>559</v>
      </c>
      <c r="E26" s="7" t="s">
        <v>825</v>
      </c>
      <c r="F26" s="9">
        <v>46054</v>
      </c>
      <c r="G26" s="9">
        <v>46082</v>
      </c>
      <c r="H26" s="7" t="s">
        <v>100</v>
      </c>
      <c r="I26" s="212" t="s">
        <v>66</v>
      </c>
      <c r="J26" s="213" t="s">
        <v>105</v>
      </c>
      <c r="K26" s="12">
        <v>1400</v>
      </c>
      <c r="L26" s="214">
        <v>180</v>
      </c>
      <c r="M26" s="324">
        <v>0</v>
      </c>
      <c r="N26" s="215">
        <f t="shared" si="1"/>
        <v>1580</v>
      </c>
      <c r="O26" s="216">
        <v>0</v>
      </c>
      <c r="P26"/>
      <c r="Q26"/>
    </row>
    <row r="27" spans="1:17" ht="15" hidden="1" customHeight="1">
      <c r="A27" s="210" t="s">
        <v>826</v>
      </c>
      <c r="B27" s="211" t="s">
        <v>768</v>
      </c>
      <c r="C27" s="8" t="s">
        <v>769</v>
      </c>
      <c r="D27" s="7" t="s">
        <v>559</v>
      </c>
      <c r="E27" s="7" t="s">
        <v>827</v>
      </c>
      <c r="F27" s="9">
        <v>46054</v>
      </c>
      <c r="G27" s="9">
        <v>46083</v>
      </c>
      <c r="H27" s="7" t="s">
        <v>100</v>
      </c>
      <c r="I27" s="212" t="s">
        <v>66</v>
      </c>
      <c r="J27" s="213" t="s">
        <v>105</v>
      </c>
      <c r="K27" s="12">
        <v>1400</v>
      </c>
      <c r="L27" s="214">
        <v>180</v>
      </c>
      <c r="M27" s="324">
        <v>0</v>
      </c>
      <c r="N27" s="215">
        <f t="shared" si="1"/>
        <v>1580</v>
      </c>
      <c r="O27" s="216">
        <v>0</v>
      </c>
      <c r="P27"/>
      <c r="Q27"/>
    </row>
    <row r="28" spans="1:17" ht="15" hidden="1" customHeight="1">
      <c r="A28" s="210" t="s">
        <v>828</v>
      </c>
      <c r="B28" s="211" t="s">
        <v>782</v>
      </c>
      <c r="C28" s="8" t="s">
        <v>769</v>
      </c>
      <c r="D28" s="7" t="s">
        <v>559</v>
      </c>
      <c r="E28" s="7" t="s">
        <v>829</v>
      </c>
      <c r="F28" s="9">
        <v>46054</v>
      </c>
      <c r="G28" s="9">
        <v>46084</v>
      </c>
      <c r="H28" s="7" t="s">
        <v>482</v>
      </c>
      <c r="I28" s="212" t="s">
        <v>66</v>
      </c>
      <c r="J28" s="213" t="s">
        <v>105</v>
      </c>
      <c r="K28" s="12">
        <v>1450</v>
      </c>
      <c r="L28" s="214">
        <v>180</v>
      </c>
      <c r="M28" s="324">
        <v>0</v>
      </c>
      <c r="N28" s="215">
        <f t="shared" si="1"/>
        <v>1630</v>
      </c>
      <c r="O28" s="216">
        <v>0</v>
      </c>
      <c r="P28"/>
      <c r="Q28"/>
    </row>
    <row r="29" spans="1:17" ht="15" hidden="1" customHeight="1">
      <c r="A29" s="210" t="s">
        <v>830</v>
      </c>
      <c r="B29" s="211" t="s">
        <v>782</v>
      </c>
      <c r="C29" s="8" t="s">
        <v>769</v>
      </c>
      <c r="D29" s="7" t="s">
        <v>559</v>
      </c>
      <c r="E29" s="7" t="s">
        <v>831</v>
      </c>
      <c r="F29" s="9">
        <v>46057</v>
      </c>
      <c r="G29" s="9">
        <v>46085</v>
      </c>
      <c r="H29" s="7" t="s">
        <v>84</v>
      </c>
      <c r="I29" s="212" t="s">
        <v>645</v>
      </c>
      <c r="J29" s="213" t="s">
        <v>105</v>
      </c>
      <c r="K29" s="12">
        <v>1400</v>
      </c>
      <c r="L29" s="214">
        <v>180</v>
      </c>
      <c r="M29" s="324">
        <v>0</v>
      </c>
      <c r="N29" s="215">
        <f t="shared" si="1"/>
        <v>1580</v>
      </c>
      <c r="O29" s="216">
        <v>0</v>
      </c>
      <c r="P29"/>
      <c r="Q29"/>
    </row>
    <row r="30" spans="1:17" ht="15" hidden="1" customHeight="1">
      <c r="A30" s="210" t="s">
        <v>832</v>
      </c>
      <c r="B30" s="211" t="s">
        <v>768</v>
      </c>
      <c r="C30" s="8" t="s">
        <v>769</v>
      </c>
      <c r="D30" s="7" t="s">
        <v>559</v>
      </c>
      <c r="E30" s="7" t="s">
        <v>833</v>
      </c>
      <c r="F30" s="9">
        <v>46059</v>
      </c>
      <c r="G30" s="9">
        <v>46091</v>
      </c>
      <c r="H30" s="7" t="s">
        <v>89</v>
      </c>
      <c r="I30" s="212" t="s">
        <v>648</v>
      </c>
      <c r="J30" s="213" t="s">
        <v>105</v>
      </c>
      <c r="K30" s="12">
        <v>1350</v>
      </c>
      <c r="L30" s="214">
        <v>180</v>
      </c>
      <c r="M30" s="324">
        <v>0</v>
      </c>
      <c r="N30" s="215">
        <f t="shared" si="1"/>
        <v>1530</v>
      </c>
      <c r="O30" s="216">
        <v>0</v>
      </c>
      <c r="P30"/>
      <c r="Q30"/>
    </row>
    <row r="31" spans="1:17" ht="15" hidden="1" customHeight="1">
      <c r="A31" s="210" t="s">
        <v>834</v>
      </c>
      <c r="B31" s="211" t="s">
        <v>772</v>
      </c>
      <c r="C31" s="8" t="s">
        <v>769</v>
      </c>
      <c r="D31" s="7" t="s">
        <v>559</v>
      </c>
      <c r="E31" s="7" t="s">
        <v>835</v>
      </c>
      <c r="F31" s="9">
        <v>46066</v>
      </c>
      <c r="G31" s="9">
        <v>46091</v>
      </c>
      <c r="H31" s="7" t="s">
        <v>89</v>
      </c>
      <c r="I31" s="212" t="s">
        <v>66</v>
      </c>
      <c r="J31" s="213" t="s">
        <v>105</v>
      </c>
      <c r="K31" s="12">
        <v>2600</v>
      </c>
      <c r="L31" s="214">
        <v>0</v>
      </c>
      <c r="M31" s="324">
        <v>0</v>
      </c>
      <c r="N31" s="215">
        <f t="shared" si="1"/>
        <v>2600</v>
      </c>
      <c r="O31" s="216">
        <v>0</v>
      </c>
      <c r="P31"/>
      <c r="Q31"/>
    </row>
    <row r="32" spans="1:17" ht="15" customHeight="1">
      <c r="A32" s="210" t="s">
        <v>836</v>
      </c>
      <c r="B32" s="211" t="s">
        <v>815</v>
      </c>
      <c r="C32" s="8" t="s">
        <v>769</v>
      </c>
      <c r="D32" s="7" t="s">
        <v>559</v>
      </c>
      <c r="E32" s="7" t="s">
        <v>837</v>
      </c>
      <c r="F32" s="9">
        <v>46066</v>
      </c>
      <c r="G32" s="9">
        <v>46091</v>
      </c>
      <c r="H32" s="7" t="s">
        <v>89</v>
      </c>
      <c r="I32" s="212" t="s">
        <v>66</v>
      </c>
      <c r="J32" s="213" t="s">
        <v>105</v>
      </c>
      <c r="K32" s="12">
        <v>2600</v>
      </c>
      <c r="L32" s="214">
        <v>0</v>
      </c>
      <c r="M32" s="324">
        <v>0</v>
      </c>
      <c r="N32" s="215">
        <f t="shared" si="1"/>
        <v>2600</v>
      </c>
      <c r="O32" s="216">
        <v>0</v>
      </c>
      <c r="P32"/>
      <c r="Q32"/>
    </row>
    <row r="33" spans="1:17" ht="15" customHeight="1">
      <c r="A33" s="210" t="s">
        <v>838</v>
      </c>
      <c r="B33" s="211" t="s">
        <v>815</v>
      </c>
      <c r="C33" s="8" t="s">
        <v>769</v>
      </c>
      <c r="D33" s="7" t="s">
        <v>559</v>
      </c>
      <c r="E33" s="7" t="s">
        <v>839</v>
      </c>
      <c r="F33" s="9">
        <v>46066</v>
      </c>
      <c r="G33" s="9">
        <v>46091</v>
      </c>
      <c r="H33" s="7" t="s">
        <v>89</v>
      </c>
      <c r="I33" s="212" t="s">
        <v>66</v>
      </c>
      <c r="J33" s="213" t="s">
        <v>105</v>
      </c>
      <c r="K33" s="12">
        <v>2600</v>
      </c>
      <c r="L33" s="214">
        <v>0</v>
      </c>
      <c r="M33" s="324">
        <v>0</v>
      </c>
      <c r="N33" s="215">
        <f t="shared" si="1"/>
        <v>2600</v>
      </c>
      <c r="O33" s="216">
        <v>0</v>
      </c>
      <c r="P33"/>
      <c r="Q33"/>
    </row>
    <row r="34" spans="1:17" ht="15" customHeight="1">
      <c r="A34" s="210" t="s">
        <v>840</v>
      </c>
      <c r="B34" s="211" t="s">
        <v>815</v>
      </c>
      <c r="C34" s="8" t="s">
        <v>769</v>
      </c>
      <c r="D34" s="7" t="s">
        <v>559</v>
      </c>
      <c r="E34" s="7" t="s">
        <v>841</v>
      </c>
      <c r="F34" s="9">
        <v>46066</v>
      </c>
      <c r="G34" s="9">
        <v>46091</v>
      </c>
      <c r="H34" s="7" t="s">
        <v>89</v>
      </c>
      <c r="I34" s="212" t="s">
        <v>66</v>
      </c>
      <c r="J34" s="213" t="s">
        <v>105</v>
      </c>
      <c r="K34" s="12">
        <v>2600</v>
      </c>
      <c r="L34" s="214">
        <v>0</v>
      </c>
      <c r="M34" s="324">
        <v>0</v>
      </c>
      <c r="N34" s="215">
        <f t="shared" si="1"/>
        <v>2600</v>
      </c>
      <c r="O34" s="216">
        <v>0</v>
      </c>
      <c r="P34"/>
      <c r="Q34"/>
    </row>
    <row r="35" spans="1:17" ht="15" hidden="1" customHeight="1">
      <c r="A35" s="210" t="s">
        <v>842</v>
      </c>
      <c r="B35" s="211" t="s">
        <v>782</v>
      </c>
      <c r="C35" s="8" t="s">
        <v>769</v>
      </c>
      <c r="D35" s="7" t="s">
        <v>559</v>
      </c>
      <c r="E35" s="7" t="s">
        <v>843</v>
      </c>
      <c r="F35" s="9">
        <v>46055</v>
      </c>
      <c r="G35" s="9">
        <v>46095</v>
      </c>
      <c r="H35" s="7" t="s">
        <v>89</v>
      </c>
      <c r="I35" s="212" t="s">
        <v>66</v>
      </c>
      <c r="J35" s="213" t="s">
        <v>105</v>
      </c>
      <c r="K35" s="12">
        <v>1350</v>
      </c>
      <c r="L35" s="214">
        <v>180</v>
      </c>
      <c r="M35" s="324">
        <v>0</v>
      </c>
      <c r="N35" s="215">
        <f t="shared" si="1"/>
        <v>1530</v>
      </c>
      <c r="O35" s="216">
        <v>0</v>
      </c>
      <c r="P35"/>
      <c r="Q35"/>
    </row>
    <row r="36" spans="1:17" ht="15" hidden="1" customHeight="1">
      <c r="A36" s="210" t="s">
        <v>844</v>
      </c>
      <c r="B36" s="211" t="s">
        <v>768</v>
      </c>
      <c r="C36" s="8" t="s">
        <v>769</v>
      </c>
      <c r="D36" s="7" t="s">
        <v>559</v>
      </c>
      <c r="E36" s="7" t="s">
        <v>845</v>
      </c>
      <c r="F36" s="9">
        <v>46066</v>
      </c>
      <c r="G36" s="9">
        <v>46095</v>
      </c>
      <c r="H36" s="7" t="s">
        <v>89</v>
      </c>
      <c r="I36" s="212" t="s">
        <v>66</v>
      </c>
      <c r="J36" s="213" t="s">
        <v>105</v>
      </c>
      <c r="K36" s="12">
        <v>2600</v>
      </c>
      <c r="L36" s="214">
        <v>180</v>
      </c>
      <c r="M36" s="324">
        <v>0</v>
      </c>
      <c r="N36" s="215">
        <f t="shared" si="1"/>
        <v>2780</v>
      </c>
      <c r="O36" s="216">
        <v>0</v>
      </c>
      <c r="P36"/>
      <c r="Q36"/>
    </row>
    <row r="37" spans="1:17" ht="15" hidden="1" customHeight="1">
      <c r="A37" s="210" t="s">
        <v>846</v>
      </c>
      <c r="B37" s="211" t="s">
        <v>772</v>
      </c>
      <c r="C37" s="8" t="s">
        <v>769</v>
      </c>
      <c r="D37" s="7" t="s">
        <v>559</v>
      </c>
      <c r="E37" s="7" t="s">
        <v>847</v>
      </c>
      <c r="F37" s="9">
        <v>46068</v>
      </c>
      <c r="G37" s="9">
        <v>46096</v>
      </c>
      <c r="H37" s="7" t="s">
        <v>89</v>
      </c>
      <c r="I37" s="212" t="s">
        <v>66</v>
      </c>
      <c r="J37" s="213" t="s">
        <v>105</v>
      </c>
      <c r="K37" s="12">
        <v>2600</v>
      </c>
      <c r="L37" s="214">
        <v>0</v>
      </c>
      <c r="M37" s="324">
        <v>0</v>
      </c>
      <c r="N37" s="215">
        <f t="shared" si="1"/>
        <v>2600</v>
      </c>
      <c r="O37" s="216">
        <v>0</v>
      </c>
      <c r="P37"/>
      <c r="Q37"/>
    </row>
    <row r="38" spans="1:17" ht="15" hidden="1" customHeight="1">
      <c r="A38" s="210" t="s">
        <v>848</v>
      </c>
      <c r="B38" s="211" t="s">
        <v>822</v>
      </c>
      <c r="C38" s="8" t="s">
        <v>769</v>
      </c>
      <c r="D38" s="7" t="s">
        <v>559</v>
      </c>
      <c r="E38" s="7" t="s">
        <v>849</v>
      </c>
      <c r="F38" s="9">
        <v>46064</v>
      </c>
      <c r="G38" s="9">
        <v>46098</v>
      </c>
      <c r="H38" s="7" t="s">
        <v>89</v>
      </c>
      <c r="I38" s="212" t="s">
        <v>621</v>
      </c>
      <c r="J38" s="213" t="s">
        <v>105</v>
      </c>
      <c r="K38" s="12">
        <v>1350</v>
      </c>
      <c r="L38" s="214">
        <v>0</v>
      </c>
      <c r="M38" s="324">
        <v>0</v>
      </c>
      <c r="N38" s="215">
        <f t="shared" si="1"/>
        <v>1350</v>
      </c>
      <c r="O38" s="216">
        <v>0</v>
      </c>
      <c r="P38"/>
      <c r="Q38"/>
    </row>
    <row r="39" spans="1:17" ht="15" hidden="1" customHeight="1">
      <c r="A39" s="210" t="s">
        <v>850</v>
      </c>
      <c r="B39" s="211" t="s">
        <v>851</v>
      </c>
      <c r="C39" s="8" t="s">
        <v>769</v>
      </c>
      <c r="D39" s="7" t="s">
        <v>559</v>
      </c>
      <c r="E39" s="7" t="s">
        <v>852</v>
      </c>
      <c r="F39" s="9">
        <v>46064</v>
      </c>
      <c r="G39" s="9">
        <v>46098</v>
      </c>
      <c r="H39" s="7" t="s">
        <v>89</v>
      </c>
      <c r="I39" s="212" t="s">
        <v>621</v>
      </c>
      <c r="J39" s="213" t="s">
        <v>105</v>
      </c>
      <c r="K39" s="12">
        <v>1350</v>
      </c>
      <c r="L39" s="214">
        <v>0</v>
      </c>
      <c r="M39" s="324">
        <v>0</v>
      </c>
      <c r="N39" s="215">
        <f t="shared" si="1"/>
        <v>1350</v>
      </c>
      <c r="O39" s="216">
        <v>0</v>
      </c>
      <c r="P39"/>
      <c r="Q39"/>
    </row>
    <row r="40" spans="1:17" ht="15" hidden="1" customHeight="1">
      <c r="A40" s="210" t="s">
        <v>853</v>
      </c>
      <c r="B40" s="211" t="s">
        <v>851</v>
      </c>
      <c r="C40" s="8" t="s">
        <v>769</v>
      </c>
      <c r="D40" s="7" t="s">
        <v>559</v>
      </c>
      <c r="E40" s="7" t="s">
        <v>854</v>
      </c>
      <c r="F40" s="9">
        <v>46064</v>
      </c>
      <c r="G40" s="9">
        <v>46098</v>
      </c>
      <c r="H40" s="7" t="s">
        <v>89</v>
      </c>
      <c r="I40" s="212" t="s">
        <v>621</v>
      </c>
      <c r="J40" s="213" t="s">
        <v>105</v>
      </c>
      <c r="K40" s="12">
        <v>1350</v>
      </c>
      <c r="L40" s="214">
        <v>0</v>
      </c>
      <c r="M40" s="324">
        <v>0</v>
      </c>
      <c r="N40" s="215">
        <f t="shared" si="1"/>
        <v>1350</v>
      </c>
      <c r="O40" s="216">
        <v>0</v>
      </c>
      <c r="P40"/>
      <c r="Q40"/>
    </row>
    <row r="41" spans="1:17" ht="15" hidden="1" customHeight="1">
      <c r="A41" s="210" t="s">
        <v>855</v>
      </c>
      <c r="B41" s="211" t="s">
        <v>856</v>
      </c>
      <c r="C41" s="8" t="s">
        <v>769</v>
      </c>
      <c r="D41" s="7" t="s">
        <v>559</v>
      </c>
      <c r="E41" s="7" t="s">
        <v>857</v>
      </c>
      <c r="F41" s="9">
        <v>46070</v>
      </c>
      <c r="G41" s="9">
        <v>46099</v>
      </c>
      <c r="H41" s="7" t="s">
        <v>84</v>
      </c>
      <c r="I41" s="212" t="s">
        <v>85</v>
      </c>
      <c r="J41" s="213" t="s">
        <v>105</v>
      </c>
      <c r="K41" s="12">
        <v>3250</v>
      </c>
      <c r="L41" s="214">
        <v>180</v>
      </c>
      <c r="M41" s="324">
        <v>0</v>
      </c>
      <c r="N41" s="215">
        <f t="shared" si="1"/>
        <v>3430</v>
      </c>
      <c r="O41" s="216">
        <v>0</v>
      </c>
      <c r="P41"/>
      <c r="Q41"/>
    </row>
    <row r="42" spans="1:17" ht="15" hidden="1" customHeight="1">
      <c r="A42" s="210" t="s">
        <v>858</v>
      </c>
      <c r="B42" s="211" t="s">
        <v>859</v>
      </c>
      <c r="C42" s="8" t="s">
        <v>769</v>
      </c>
      <c r="D42" s="7" t="s">
        <v>559</v>
      </c>
      <c r="E42" s="7" t="s">
        <v>860</v>
      </c>
      <c r="F42" s="9">
        <v>46063</v>
      </c>
      <c r="G42" s="9">
        <v>46099</v>
      </c>
      <c r="H42" s="7" t="s">
        <v>507</v>
      </c>
      <c r="I42" s="212" t="s">
        <v>648</v>
      </c>
      <c r="J42" s="213" t="s">
        <v>105</v>
      </c>
      <c r="K42" s="12">
        <v>3150</v>
      </c>
      <c r="L42" s="214">
        <v>0</v>
      </c>
      <c r="M42" s="324">
        <v>0</v>
      </c>
      <c r="N42" s="215">
        <f t="shared" si="1"/>
        <v>3150</v>
      </c>
      <c r="O42" s="216">
        <v>0</v>
      </c>
      <c r="P42"/>
      <c r="Q42"/>
    </row>
    <row r="43" spans="1:17" ht="15" hidden="1" customHeight="1">
      <c r="A43" s="210" t="s">
        <v>861</v>
      </c>
      <c r="B43" s="211" t="s">
        <v>851</v>
      </c>
      <c r="C43" s="8" t="s">
        <v>769</v>
      </c>
      <c r="D43" s="7" t="s">
        <v>559</v>
      </c>
      <c r="E43" s="7" t="s">
        <v>862</v>
      </c>
      <c r="F43" s="9">
        <v>46071</v>
      </c>
      <c r="G43" s="9">
        <v>46105</v>
      </c>
      <c r="H43" s="7" t="s">
        <v>89</v>
      </c>
      <c r="I43" s="212" t="s">
        <v>621</v>
      </c>
      <c r="J43" s="213" t="s">
        <v>105</v>
      </c>
      <c r="K43" s="12">
        <v>2600</v>
      </c>
      <c r="L43" s="214">
        <v>0</v>
      </c>
      <c r="M43" s="324">
        <v>0</v>
      </c>
      <c r="N43" s="215">
        <f t="shared" si="1"/>
        <v>2600</v>
      </c>
      <c r="O43" s="216">
        <v>0</v>
      </c>
      <c r="P43"/>
      <c r="Q43"/>
    </row>
    <row r="44" spans="1:17" ht="15" hidden="1" customHeight="1">
      <c r="A44" s="210" t="s">
        <v>863</v>
      </c>
      <c r="B44" s="211" t="s">
        <v>768</v>
      </c>
      <c r="C44" s="8" t="s">
        <v>769</v>
      </c>
      <c r="D44" s="7" t="s">
        <v>559</v>
      </c>
      <c r="E44" s="7" t="s">
        <v>864</v>
      </c>
      <c r="F44" s="9">
        <v>46061</v>
      </c>
      <c r="G44" s="9">
        <v>46105</v>
      </c>
      <c r="H44" s="7" t="s">
        <v>482</v>
      </c>
      <c r="I44" s="212" t="s">
        <v>66</v>
      </c>
      <c r="J44" s="213" t="s">
        <v>105</v>
      </c>
      <c r="K44" s="12">
        <v>1700</v>
      </c>
      <c r="L44" s="214">
        <v>180</v>
      </c>
      <c r="M44" s="324">
        <v>0</v>
      </c>
      <c r="N44" s="215">
        <f t="shared" si="1"/>
        <v>1880</v>
      </c>
      <c r="O44" s="216">
        <v>0</v>
      </c>
      <c r="P44"/>
      <c r="Q44"/>
    </row>
    <row r="45" spans="1:17" ht="15" hidden="1" customHeight="1">
      <c r="A45" s="210" t="s">
        <v>865</v>
      </c>
      <c r="B45" s="211" t="s">
        <v>768</v>
      </c>
      <c r="C45" s="8" t="s">
        <v>769</v>
      </c>
      <c r="D45" s="7" t="s">
        <v>559</v>
      </c>
      <c r="E45" s="7" t="s">
        <v>866</v>
      </c>
      <c r="F45" s="9">
        <v>46068</v>
      </c>
      <c r="G45" s="9">
        <v>46105</v>
      </c>
      <c r="H45" s="7" t="s">
        <v>482</v>
      </c>
      <c r="I45" s="212" t="s">
        <v>66</v>
      </c>
      <c r="J45" s="213" t="s">
        <v>105</v>
      </c>
      <c r="K45" s="12">
        <v>2450</v>
      </c>
      <c r="L45" s="214">
        <v>180</v>
      </c>
      <c r="M45" s="324">
        <v>0</v>
      </c>
      <c r="N45" s="215">
        <f t="shared" si="1"/>
        <v>2630</v>
      </c>
      <c r="O45" s="216">
        <v>0</v>
      </c>
      <c r="P45"/>
      <c r="Q45"/>
    </row>
    <row r="46" spans="1:17" ht="15" customHeight="1">
      <c r="A46" s="210" t="s">
        <v>867</v>
      </c>
      <c r="B46" s="211" t="s">
        <v>815</v>
      </c>
      <c r="C46" s="8" t="s">
        <v>769</v>
      </c>
      <c r="D46" s="7" t="s">
        <v>559</v>
      </c>
      <c r="E46" s="7" t="s">
        <v>868</v>
      </c>
      <c r="F46" s="9">
        <v>46068</v>
      </c>
      <c r="G46" s="9">
        <v>46105</v>
      </c>
      <c r="H46" s="7" t="s">
        <v>482</v>
      </c>
      <c r="I46" s="212" t="s">
        <v>66</v>
      </c>
      <c r="J46" s="213" t="s">
        <v>105</v>
      </c>
      <c r="K46" s="12">
        <v>1850</v>
      </c>
      <c r="L46" s="214">
        <v>0</v>
      </c>
      <c r="M46" s="324">
        <v>0</v>
      </c>
      <c r="N46" s="215">
        <f t="shared" si="1"/>
        <v>1850</v>
      </c>
      <c r="O46" s="216">
        <v>0</v>
      </c>
      <c r="P46"/>
      <c r="Q46"/>
    </row>
    <row r="47" spans="1:17" ht="15" customHeight="1">
      <c r="A47" s="210" t="s">
        <v>869</v>
      </c>
      <c r="B47" s="211" t="s">
        <v>815</v>
      </c>
      <c r="C47" s="8" t="s">
        <v>769</v>
      </c>
      <c r="D47" s="7" t="s">
        <v>559</v>
      </c>
      <c r="E47" s="7" t="s">
        <v>870</v>
      </c>
      <c r="F47" s="9">
        <v>46067</v>
      </c>
      <c r="G47" s="9">
        <v>46106</v>
      </c>
      <c r="H47" s="7" t="s">
        <v>84</v>
      </c>
      <c r="I47" s="212" t="s">
        <v>316</v>
      </c>
      <c r="J47" s="213" t="s">
        <v>105</v>
      </c>
      <c r="K47" s="12">
        <v>2200</v>
      </c>
      <c r="L47" s="214">
        <v>0</v>
      </c>
      <c r="M47" s="324">
        <v>0</v>
      </c>
      <c r="N47" s="215">
        <f t="shared" si="1"/>
        <v>2200</v>
      </c>
      <c r="O47" s="216">
        <v>0</v>
      </c>
      <c r="P47"/>
      <c r="Q47"/>
    </row>
    <row r="48" spans="1:17" ht="15" customHeight="1">
      <c r="A48" s="210" t="s">
        <v>871</v>
      </c>
      <c r="B48" s="211" t="s">
        <v>872</v>
      </c>
      <c r="C48" s="8" t="s">
        <v>769</v>
      </c>
      <c r="D48" s="7" t="s">
        <v>559</v>
      </c>
      <c r="E48" s="7" t="s">
        <v>873</v>
      </c>
      <c r="F48" s="9">
        <v>46086</v>
      </c>
      <c r="G48" s="9">
        <v>46106</v>
      </c>
      <c r="H48" s="7" t="s">
        <v>507</v>
      </c>
      <c r="I48" s="212" t="s">
        <v>66</v>
      </c>
      <c r="J48" s="213" t="s">
        <v>105</v>
      </c>
      <c r="K48" s="12">
        <v>3100</v>
      </c>
      <c r="L48" s="214">
        <v>180</v>
      </c>
      <c r="M48" s="324">
        <v>0</v>
      </c>
      <c r="N48" s="215">
        <f t="shared" si="1"/>
        <v>3280</v>
      </c>
      <c r="O48" s="216">
        <v>0</v>
      </c>
      <c r="P48"/>
      <c r="Q48"/>
    </row>
    <row r="49" spans="1:17" ht="15" hidden="1" customHeight="1">
      <c r="A49" s="210" t="s">
        <v>874</v>
      </c>
      <c r="B49" s="211" t="s">
        <v>822</v>
      </c>
      <c r="C49" s="8" t="s">
        <v>769</v>
      </c>
      <c r="D49" s="7" t="s">
        <v>559</v>
      </c>
      <c r="E49" s="7" t="s">
        <v>875</v>
      </c>
      <c r="F49" s="9">
        <v>46066</v>
      </c>
      <c r="G49" s="9">
        <v>46110</v>
      </c>
      <c r="H49" s="7" t="s">
        <v>100</v>
      </c>
      <c r="I49" s="212" t="s">
        <v>510</v>
      </c>
      <c r="J49" s="213" t="s">
        <v>105</v>
      </c>
      <c r="K49" s="12">
        <v>1450</v>
      </c>
      <c r="L49" s="214">
        <v>0</v>
      </c>
      <c r="M49" s="324">
        <v>0</v>
      </c>
      <c r="N49" s="215">
        <f t="shared" si="1"/>
        <v>1450</v>
      </c>
      <c r="O49" s="216">
        <v>0</v>
      </c>
      <c r="P49"/>
      <c r="Q49"/>
    </row>
    <row r="50" spans="1:17" ht="15" customHeight="1">
      <c r="A50" s="210" t="s">
        <v>876</v>
      </c>
      <c r="B50" s="211" t="s">
        <v>790</v>
      </c>
      <c r="C50" s="8" t="s">
        <v>769</v>
      </c>
      <c r="D50" s="7" t="s">
        <v>559</v>
      </c>
      <c r="E50" s="7" t="s">
        <v>877</v>
      </c>
      <c r="F50" s="9">
        <v>46068</v>
      </c>
      <c r="G50" s="9">
        <v>46112</v>
      </c>
      <c r="H50" s="7" t="s">
        <v>482</v>
      </c>
      <c r="I50" s="212" t="s">
        <v>66</v>
      </c>
      <c r="J50" s="213" t="s">
        <v>105</v>
      </c>
      <c r="K50" s="12">
        <v>2550</v>
      </c>
      <c r="L50" s="214">
        <v>180</v>
      </c>
      <c r="M50" s="324">
        <v>0</v>
      </c>
      <c r="N50" s="215">
        <f t="shared" ref="N50:N81" si="2">SUM(K50+L50)</f>
        <v>2730</v>
      </c>
      <c r="O50" s="216">
        <v>0</v>
      </c>
      <c r="P50"/>
      <c r="Q50"/>
    </row>
    <row r="51" spans="1:17" ht="15" hidden="1" customHeight="1">
      <c r="A51" s="210" t="s">
        <v>878</v>
      </c>
      <c r="B51" s="211" t="s">
        <v>782</v>
      </c>
      <c r="C51" s="8" t="s">
        <v>769</v>
      </c>
      <c r="D51" s="7" t="s">
        <v>559</v>
      </c>
      <c r="E51" s="7" t="s">
        <v>879</v>
      </c>
      <c r="F51" s="9">
        <v>46068</v>
      </c>
      <c r="G51" s="9">
        <v>46112</v>
      </c>
      <c r="H51" s="7" t="s">
        <v>482</v>
      </c>
      <c r="I51" s="212" t="s">
        <v>66</v>
      </c>
      <c r="J51" s="213" t="s">
        <v>105</v>
      </c>
      <c r="K51" s="12">
        <v>2550</v>
      </c>
      <c r="L51" s="214">
        <v>180</v>
      </c>
      <c r="M51" s="324">
        <v>0</v>
      </c>
      <c r="N51" s="215">
        <f t="shared" si="2"/>
        <v>2730</v>
      </c>
      <c r="O51" s="216">
        <v>0</v>
      </c>
      <c r="P51"/>
      <c r="Q51"/>
    </row>
    <row r="52" spans="1:17" ht="15" customHeight="1">
      <c r="A52" s="210" t="s">
        <v>880</v>
      </c>
      <c r="B52" s="211" t="s">
        <v>815</v>
      </c>
      <c r="C52" s="8" t="s">
        <v>769</v>
      </c>
      <c r="D52" s="7" t="s">
        <v>559</v>
      </c>
      <c r="E52" s="7" t="s">
        <v>881</v>
      </c>
      <c r="F52" s="9">
        <v>46084</v>
      </c>
      <c r="G52" s="9">
        <v>46113</v>
      </c>
      <c r="H52" s="7" t="s">
        <v>84</v>
      </c>
      <c r="I52" s="212" t="s">
        <v>66</v>
      </c>
      <c r="J52" s="213" t="s">
        <v>105</v>
      </c>
      <c r="K52" s="12">
        <v>2500</v>
      </c>
      <c r="L52" s="214">
        <v>0</v>
      </c>
      <c r="M52" s="324">
        <v>0</v>
      </c>
      <c r="N52" s="215">
        <f t="shared" si="2"/>
        <v>2500</v>
      </c>
      <c r="O52" s="216">
        <v>0</v>
      </c>
      <c r="P52"/>
      <c r="Q52"/>
    </row>
    <row r="53" spans="1:17" ht="15" hidden="1" customHeight="1">
      <c r="A53" s="210" t="s">
        <v>882</v>
      </c>
      <c r="B53" s="211" t="s">
        <v>768</v>
      </c>
      <c r="C53" s="8" t="s">
        <v>769</v>
      </c>
      <c r="D53" s="7" t="s">
        <v>559</v>
      </c>
      <c r="E53" s="7" t="s">
        <v>883</v>
      </c>
      <c r="F53" s="9">
        <v>46071</v>
      </c>
      <c r="G53" s="9">
        <v>46117</v>
      </c>
      <c r="H53" s="7" t="s">
        <v>149</v>
      </c>
      <c r="I53" s="212" t="s">
        <v>645</v>
      </c>
      <c r="J53" s="213" t="s">
        <v>105</v>
      </c>
      <c r="K53" s="12">
        <v>2050</v>
      </c>
      <c r="L53" s="214">
        <v>180</v>
      </c>
      <c r="M53" s="324">
        <v>0</v>
      </c>
      <c r="N53" s="215">
        <f t="shared" si="2"/>
        <v>2230</v>
      </c>
      <c r="O53" s="216">
        <v>0</v>
      </c>
      <c r="P53"/>
      <c r="Q53"/>
    </row>
    <row r="54" spans="1:17" ht="15" hidden="1" customHeight="1">
      <c r="A54" s="210" t="s">
        <v>884</v>
      </c>
      <c r="B54" s="211" t="s">
        <v>768</v>
      </c>
      <c r="C54" s="8" t="s">
        <v>769</v>
      </c>
      <c r="D54" s="7" t="s">
        <v>559</v>
      </c>
      <c r="E54" s="7" t="s">
        <v>885</v>
      </c>
      <c r="F54" s="9">
        <v>46091</v>
      </c>
      <c r="G54" s="9">
        <v>46117</v>
      </c>
      <c r="H54" s="7" t="s">
        <v>100</v>
      </c>
      <c r="I54" s="212" t="s">
        <v>66</v>
      </c>
      <c r="J54" s="213" t="s">
        <v>105</v>
      </c>
      <c r="K54" s="12">
        <v>3150</v>
      </c>
      <c r="L54" s="214">
        <v>180</v>
      </c>
      <c r="M54" s="324">
        <v>0</v>
      </c>
      <c r="N54" s="215">
        <f t="shared" si="2"/>
        <v>3330</v>
      </c>
      <c r="O54" s="216">
        <v>0</v>
      </c>
      <c r="P54"/>
      <c r="Q54"/>
    </row>
    <row r="55" spans="1:17" ht="15" hidden="1" customHeight="1">
      <c r="A55" s="210" t="s">
        <v>886</v>
      </c>
      <c r="B55" s="211" t="s">
        <v>768</v>
      </c>
      <c r="C55" s="8" t="s">
        <v>769</v>
      </c>
      <c r="D55" s="7" t="s">
        <v>559</v>
      </c>
      <c r="E55" s="7" t="s">
        <v>887</v>
      </c>
      <c r="F55" s="9">
        <v>46091</v>
      </c>
      <c r="G55" s="9">
        <v>46117</v>
      </c>
      <c r="H55" s="7" t="s">
        <v>100</v>
      </c>
      <c r="I55" s="212" t="s">
        <v>66</v>
      </c>
      <c r="J55" s="213" t="s">
        <v>105</v>
      </c>
      <c r="K55" s="12">
        <v>3150</v>
      </c>
      <c r="L55" s="214">
        <v>180</v>
      </c>
      <c r="M55" s="324">
        <v>0</v>
      </c>
      <c r="N55" s="215">
        <f t="shared" si="2"/>
        <v>3330</v>
      </c>
      <c r="O55" s="216">
        <v>0</v>
      </c>
      <c r="P55"/>
      <c r="Q55"/>
    </row>
    <row r="56" spans="1:17" ht="15" customHeight="1">
      <c r="A56" s="210" t="s">
        <v>888</v>
      </c>
      <c r="B56" s="211" t="s">
        <v>815</v>
      </c>
      <c r="C56" s="8" t="s">
        <v>769</v>
      </c>
      <c r="D56" s="7" t="s">
        <v>559</v>
      </c>
      <c r="E56" s="7" t="s">
        <v>889</v>
      </c>
      <c r="F56" s="9">
        <v>46085</v>
      </c>
      <c r="G56" s="9">
        <v>46117</v>
      </c>
      <c r="H56" s="7" t="s">
        <v>89</v>
      </c>
      <c r="I56" s="212" t="s">
        <v>645</v>
      </c>
      <c r="J56" s="213" t="s">
        <v>105</v>
      </c>
      <c r="K56" s="12">
        <v>3100</v>
      </c>
      <c r="L56" s="214">
        <v>0</v>
      </c>
      <c r="M56" s="324">
        <v>0</v>
      </c>
      <c r="N56" s="215">
        <f t="shared" si="2"/>
        <v>3100</v>
      </c>
      <c r="O56" s="216">
        <v>0</v>
      </c>
      <c r="P56"/>
      <c r="Q56"/>
    </row>
    <row r="57" spans="1:17" ht="15" customHeight="1">
      <c r="A57" s="210" t="s">
        <v>890</v>
      </c>
      <c r="B57" s="211" t="s">
        <v>815</v>
      </c>
      <c r="C57" s="8" t="s">
        <v>769</v>
      </c>
      <c r="D57" s="7" t="s">
        <v>559</v>
      </c>
      <c r="E57" s="7" t="s">
        <v>891</v>
      </c>
      <c r="F57" s="9">
        <v>46085</v>
      </c>
      <c r="G57" s="9">
        <v>46117</v>
      </c>
      <c r="H57" s="7" t="s">
        <v>89</v>
      </c>
      <c r="I57" s="212" t="s">
        <v>645</v>
      </c>
      <c r="J57" s="213" t="s">
        <v>105</v>
      </c>
      <c r="K57" s="12">
        <v>3100</v>
      </c>
      <c r="L57" s="214">
        <v>0</v>
      </c>
      <c r="M57" s="324">
        <v>0</v>
      </c>
      <c r="N57" s="215">
        <f t="shared" si="2"/>
        <v>3100</v>
      </c>
      <c r="O57" s="216">
        <v>0</v>
      </c>
      <c r="P57"/>
      <c r="Q57"/>
    </row>
    <row r="58" spans="1:17" ht="15" customHeight="1">
      <c r="A58" s="210" t="s">
        <v>892</v>
      </c>
      <c r="B58" s="211" t="s">
        <v>893</v>
      </c>
      <c r="C58" s="8" t="s">
        <v>769</v>
      </c>
      <c r="D58" s="7" t="s">
        <v>559</v>
      </c>
      <c r="E58" s="7" t="s">
        <v>894</v>
      </c>
      <c r="F58" s="9">
        <v>46095</v>
      </c>
      <c r="G58" s="9">
        <v>46117</v>
      </c>
      <c r="H58" s="7" t="s">
        <v>84</v>
      </c>
      <c r="I58" s="212" t="s">
        <v>316</v>
      </c>
      <c r="J58" s="213" t="s">
        <v>105</v>
      </c>
      <c r="K58" s="12">
        <v>3300</v>
      </c>
      <c r="L58" s="214">
        <v>0</v>
      </c>
      <c r="M58" s="324">
        <v>0</v>
      </c>
      <c r="N58" s="215">
        <f t="shared" si="2"/>
        <v>3300</v>
      </c>
      <c r="O58" s="216">
        <v>0</v>
      </c>
      <c r="P58"/>
      <c r="Q58"/>
    </row>
    <row r="59" spans="1:17" ht="15" customHeight="1">
      <c r="A59" s="210" t="s">
        <v>895</v>
      </c>
      <c r="B59" s="211" t="s">
        <v>893</v>
      </c>
      <c r="C59" s="8" t="s">
        <v>769</v>
      </c>
      <c r="D59" s="7" t="s">
        <v>559</v>
      </c>
      <c r="E59" s="7" t="s">
        <v>896</v>
      </c>
      <c r="F59" s="9">
        <v>46095</v>
      </c>
      <c r="G59" s="9">
        <v>46117</v>
      </c>
      <c r="H59" s="7" t="s">
        <v>84</v>
      </c>
      <c r="I59" s="212" t="s">
        <v>316</v>
      </c>
      <c r="J59" s="213" t="s">
        <v>105</v>
      </c>
      <c r="K59" s="12">
        <v>3300</v>
      </c>
      <c r="L59" s="214">
        <v>0</v>
      </c>
      <c r="M59" s="324">
        <v>0</v>
      </c>
      <c r="N59" s="215">
        <f t="shared" si="2"/>
        <v>3300</v>
      </c>
      <c r="O59" s="216">
        <v>0</v>
      </c>
      <c r="P59"/>
      <c r="Q59"/>
    </row>
    <row r="60" spans="1:17" ht="15" customHeight="1">
      <c r="A60" s="210" t="s">
        <v>897</v>
      </c>
      <c r="B60" s="211" t="s">
        <v>815</v>
      </c>
      <c r="C60" s="8" t="s">
        <v>769</v>
      </c>
      <c r="D60" s="7" t="s">
        <v>559</v>
      </c>
      <c r="E60" s="7" t="s">
        <v>898</v>
      </c>
      <c r="F60" s="9">
        <v>46101</v>
      </c>
      <c r="G60" s="9">
        <v>46125</v>
      </c>
      <c r="H60" s="7" t="s">
        <v>89</v>
      </c>
      <c r="I60" s="212" t="s">
        <v>66</v>
      </c>
      <c r="J60" s="213" t="s">
        <v>105</v>
      </c>
      <c r="K60" s="12">
        <v>3100</v>
      </c>
      <c r="L60" s="214">
        <v>0</v>
      </c>
      <c r="M60" s="324">
        <v>0</v>
      </c>
      <c r="N60" s="215">
        <f t="shared" si="2"/>
        <v>3100</v>
      </c>
      <c r="O60" s="216">
        <v>0</v>
      </c>
      <c r="P60"/>
      <c r="Q60"/>
    </row>
    <row r="61" spans="1:17" ht="15" customHeight="1">
      <c r="A61" s="210" t="s">
        <v>899</v>
      </c>
      <c r="B61" s="211" t="s">
        <v>815</v>
      </c>
      <c r="C61" s="8" t="s">
        <v>769</v>
      </c>
      <c r="D61" s="7" t="s">
        <v>559</v>
      </c>
      <c r="E61" s="7" t="s">
        <v>900</v>
      </c>
      <c r="F61" s="9">
        <v>46101</v>
      </c>
      <c r="G61" s="9">
        <v>46125</v>
      </c>
      <c r="H61" s="7" t="s">
        <v>89</v>
      </c>
      <c r="I61" s="212" t="s">
        <v>66</v>
      </c>
      <c r="J61" s="213" t="s">
        <v>105</v>
      </c>
      <c r="K61" s="12">
        <v>3100</v>
      </c>
      <c r="L61" s="214">
        <v>0</v>
      </c>
      <c r="M61" s="324">
        <v>0</v>
      </c>
      <c r="N61" s="215">
        <f t="shared" si="2"/>
        <v>3100</v>
      </c>
      <c r="O61" s="216">
        <v>0</v>
      </c>
      <c r="P61"/>
      <c r="Q61"/>
    </row>
    <row r="62" spans="1:17" ht="15" hidden="1" customHeight="1">
      <c r="A62" s="210" t="s">
        <v>901</v>
      </c>
      <c r="B62" s="211" t="s">
        <v>768</v>
      </c>
      <c r="C62" s="8" t="s">
        <v>769</v>
      </c>
      <c r="D62" s="7" t="s">
        <v>559</v>
      </c>
      <c r="E62" s="7" t="s">
        <v>902</v>
      </c>
      <c r="F62" s="9">
        <v>46104</v>
      </c>
      <c r="G62" s="9">
        <v>46130</v>
      </c>
      <c r="H62" s="7" t="s">
        <v>89</v>
      </c>
      <c r="I62" s="212" t="s">
        <v>66</v>
      </c>
      <c r="J62" s="213" t="s">
        <v>105</v>
      </c>
      <c r="K62" s="12">
        <v>3600</v>
      </c>
      <c r="L62" s="214">
        <v>180</v>
      </c>
      <c r="M62" s="324">
        <v>0</v>
      </c>
      <c r="N62" s="215">
        <f t="shared" si="2"/>
        <v>3780</v>
      </c>
      <c r="O62" s="216">
        <v>0</v>
      </c>
      <c r="P62"/>
      <c r="Q62"/>
    </row>
    <row r="63" spans="1:17" ht="15" hidden="1" customHeight="1">
      <c r="A63" s="210" t="s">
        <v>903</v>
      </c>
      <c r="B63" s="211" t="s">
        <v>768</v>
      </c>
      <c r="C63" s="8" t="s">
        <v>769</v>
      </c>
      <c r="D63" s="7" t="s">
        <v>559</v>
      </c>
      <c r="E63" s="7" t="s">
        <v>904</v>
      </c>
      <c r="F63" s="9">
        <v>46110</v>
      </c>
      <c r="G63" s="9">
        <v>46133</v>
      </c>
      <c r="H63" s="7" t="s">
        <v>482</v>
      </c>
      <c r="I63" s="212" t="s">
        <v>66</v>
      </c>
      <c r="J63" s="213" t="s">
        <v>105</v>
      </c>
      <c r="K63" s="12">
        <v>3150</v>
      </c>
      <c r="L63" s="214">
        <v>180</v>
      </c>
      <c r="M63" s="324">
        <v>0</v>
      </c>
      <c r="N63" s="215">
        <f t="shared" si="2"/>
        <v>3330</v>
      </c>
      <c r="O63" s="216">
        <v>0</v>
      </c>
      <c r="P63"/>
      <c r="Q63"/>
    </row>
    <row r="64" spans="1:17" ht="15" hidden="1" customHeight="1">
      <c r="A64" s="210" t="s">
        <v>905</v>
      </c>
      <c r="B64" s="211" t="s">
        <v>768</v>
      </c>
      <c r="C64" s="8" t="s">
        <v>769</v>
      </c>
      <c r="D64" s="7" t="s">
        <v>559</v>
      </c>
      <c r="E64" s="7" t="s">
        <v>906</v>
      </c>
      <c r="F64" s="9">
        <v>46110</v>
      </c>
      <c r="G64" s="9">
        <v>46133</v>
      </c>
      <c r="H64" s="7" t="s">
        <v>482</v>
      </c>
      <c r="I64" s="212" t="s">
        <v>66</v>
      </c>
      <c r="J64" s="213" t="s">
        <v>105</v>
      </c>
      <c r="K64" s="12">
        <v>3150</v>
      </c>
      <c r="L64" s="214">
        <v>180</v>
      </c>
      <c r="M64" s="324">
        <v>0</v>
      </c>
      <c r="N64" s="215">
        <f t="shared" si="2"/>
        <v>3330</v>
      </c>
      <c r="O64" s="216">
        <v>0</v>
      </c>
      <c r="P64"/>
      <c r="Q64"/>
    </row>
    <row r="65" spans="1:17" ht="15" customHeight="1">
      <c r="A65" s="210" t="s">
        <v>907</v>
      </c>
      <c r="B65" s="211" t="s">
        <v>815</v>
      </c>
      <c r="C65" s="8" t="s">
        <v>769</v>
      </c>
      <c r="D65" s="7" t="s">
        <v>559</v>
      </c>
      <c r="E65" s="7" t="s">
        <v>908</v>
      </c>
      <c r="F65" s="9">
        <v>46111</v>
      </c>
      <c r="G65" s="9">
        <v>46138</v>
      </c>
      <c r="H65" s="7" t="s">
        <v>89</v>
      </c>
      <c r="I65" s="212" t="s">
        <v>66</v>
      </c>
      <c r="J65" s="213" t="s">
        <v>105</v>
      </c>
      <c r="K65" s="12">
        <v>3600</v>
      </c>
      <c r="L65" s="214">
        <v>0</v>
      </c>
      <c r="M65" s="324">
        <v>0</v>
      </c>
      <c r="N65" s="215">
        <f t="shared" si="2"/>
        <v>3600</v>
      </c>
      <c r="O65" s="216">
        <v>0</v>
      </c>
      <c r="P65"/>
      <c r="Q65"/>
    </row>
    <row r="66" spans="1:17" ht="15" customHeight="1">
      <c r="A66" s="210" t="s">
        <v>909</v>
      </c>
      <c r="B66" s="211" t="s">
        <v>815</v>
      </c>
      <c r="C66" s="8" t="s">
        <v>769</v>
      </c>
      <c r="D66" s="7" t="s">
        <v>559</v>
      </c>
      <c r="E66" s="7" t="s">
        <v>910</v>
      </c>
      <c r="F66" s="9">
        <v>46122</v>
      </c>
      <c r="G66" s="9">
        <v>46147</v>
      </c>
      <c r="H66" s="7" t="s">
        <v>89</v>
      </c>
      <c r="I66" s="212" t="s">
        <v>66</v>
      </c>
      <c r="J66" s="213" t="s">
        <v>105</v>
      </c>
      <c r="K66" s="12">
        <v>3350</v>
      </c>
      <c r="L66" s="214">
        <v>0</v>
      </c>
      <c r="M66" s="324">
        <v>0</v>
      </c>
      <c r="N66" s="215">
        <f t="shared" si="2"/>
        <v>3350</v>
      </c>
      <c r="O66" s="216">
        <v>0</v>
      </c>
      <c r="P66"/>
      <c r="Q66"/>
    </row>
    <row r="67" spans="1:17" ht="15" customHeight="1">
      <c r="A67" s="210" t="s">
        <v>911</v>
      </c>
      <c r="B67" s="211" t="s">
        <v>815</v>
      </c>
      <c r="C67" s="8" t="s">
        <v>769</v>
      </c>
      <c r="D67" s="7" t="s">
        <v>559</v>
      </c>
      <c r="E67" s="7" t="s">
        <v>912</v>
      </c>
      <c r="F67" s="9">
        <v>46124</v>
      </c>
      <c r="G67" s="9">
        <v>46147</v>
      </c>
      <c r="H67" s="7" t="s">
        <v>89</v>
      </c>
      <c r="I67" s="212" t="s">
        <v>316</v>
      </c>
      <c r="J67" s="213" t="s">
        <v>105</v>
      </c>
      <c r="K67" s="12">
        <v>3350</v>
      </c>
      <c r="L67" s="214">
        <v>0</v>
      </c>
      <c r="M67" s="324">
        <v>0</v>
      </c>
      <c r="N67" s="215">
        <f t="shared" si="2"/>
        <v>3350</v>
      </c>
      <c r="O67" s="216">
        <v>0</v>
      </c>
      <c r="P67"/>
      <c r="Q67"/>
    </row>
    <row r="68" spans="1:17" ht="15" hidden="1" customHeight="1">
      <c r="A68" s="210" t="s">
        <v>913</v>
      </c>
      <c r="B68" s="211" t="s">
        <v>851</v>
      </c>
      <c r="C68" s="8" t="s">
        <v>769</v>
      </c>
      <c r="D68" s="7" t="s">
        <v>559</v>
      </c>
      <c r="E68" s="7" t="s">
        <v>914</v>
      </c>
      <c r="F68" s="9">
        <v>46130</v>
      </c>
      <c r="G68" s="9">
        <v>46150</v>
      </c>
      <c r="H68" s="7" t="s">
        <v>507</v>
      </c>
      <c r="I68" s="212" t="s">
        <v>85</v>
      </c>
      <c r="J68" s="213" t="s">
        <v>105</v>
      </c>
      <c r="K68" s="12">
        <v>3050</v>
      </c>
      <c r="L68" s="214">
        <v>0</v>
      </c>
      <c r="M68" s="324">
        <v>0</v>
      </c>
      <c r="N68" s="215">
        <f t="shared" si="2"/>
        <v>3050</v>
      </c>
      <c r="O68" s="216">
        <v>0</v>
      </c>
      <c r="P68"/>
      <c r="Q68"/>
    </row>
    <row r="69" spans="1:17" ht="15" hidden="1" customHeight="1">
      <c r="A69" s="210" t="s">
        <v>915</v>
      </c>
      <c r="B69" s="211" t="s">
        <v>768</v>
      </c>
      <c r="C69" s="8" t="s">
        <v>769</v>
      </c>
      <c r="D69" s="7" t="s">
        <v>559</v>
      </c>
      <c r="E69" s="7" t="s">
        <v>916</v>
      </c>
      <c r="F69" s="9">
        <v>46123</v>
      </c>
      <c r="G69" s="9">
        <v>46151</v>
      </c>
      <c r="H69" s="7" t="s">
        <v>84</v>
      </c>
      <c r="I69" s="212" t="s">
        <v>66</v>
      </c>
      <c r="J69" s="213" t="s">
        <v>105</v>
      </c>
      <c r="K69" s="12">
        <v>3100</v>
      </c>
      <c r="L69" s="214">
        <v>180</v>
      </c>
      <c r="M69" s="324">
        <v>0</v>
      </c>
      <c r="N69" s="215">
        <f t="shared" si="2"/>
        <v>3280</v>
      </c>
      <c r="O69" s="216">
        <v>0</v>
      </c>
      <c r="P69"/>
      <c r="Q69"/>
    </row>
    <row r="70" spans="1:17" ht="15" customHeight="1">
      <c r="A70" s="210" t="s">
        <v>917</v>
      </c>
      <c r="B70" s="211" t="s">
        <v>815</v>
      </c>
      <c r="C70" s="8" t="s">
        <v>769</v>
      </c>
      <c r="D70" s="7" t="s">
        <v>559</v>
      </c>
      <c r="E70" s="7" t="s">
        <v>918</v>
      </c>
      <c r="F70" s="9">
        <v>46118</v>
      </c>
      <c r="G70" s="9">
        <v>46151</v>
      </c>
      <c r="H70" s="7" t="s">
        <v>89</v>
      </c>
      <c r="I70" s="212" t="s">
        <v>66</v>
      </c>
      <c r="J70" s="213" t="s">
        <v>105</v>
      </c>
      <c r="K70" s="12">
        <v>3400</v>
      </c>
      <c r="L70" s="214">
        <v>0</v>
      </c>
      <c r="M70" s="324">
        <v>0</v>
      </c>
      <c r="N70" s="215">
        <f t="shared" si="2"/>
        <v>3400</v>
      </c>
      <c r="O70" s="216">
        <v>0</v>
      </c>
      <c r="P70"/>
      <c r="Q70"/>
    </row>
    <row r="71" spans="1:17" ht="15" hidden="1" customHeight="1">
      <c r="A71" s="210" t="s">
        <v>919</v>
      </c>
      <c r="B71" s="211" t="s">
        <v>768</v>
      </c>
      <c r="C71" s="8" t="s">
        <v>769</v>
      </c>
      <c r="D71" s="7" t="s">
        <v>559</v>
      </c>
      <c r="E71" s="7" t="s">
        <v>920</v>
      </c>
      <c r="F71" s="9">
        <v>46126</v>
      </c>
      <c r="G71" s="9">
        <v>46152</v>
      </c>
      <c r="H71" s="7" t="s">
        <v>100</v>
      </c>
      <c r="I71" s="212" t="s">
        <v>66</v>
      </c>
      <c r="J71" s="213" t="s">
        <v>105</v>
      </c>
      <c r="K71" s="12">
        <v>3150</v>
      </c>
      <c r="L71" s="214">
        <v>180</v>
      </c>
      <c r="M71" s="324">
        <v>0</v>
      </c>
      <c r="N71" s="215">
        <f t="shared" si="2"/>
        <v>3330</v>
      </c>
      <c r="O71" s="216">
        <v>0</v>
      </c>
      <c r="P71"/>
      <c r="Q71"/>
    </row>
    <row r="72" spans="1:17" ht="15" hidden="1" customHeight="1">
      <c r="A72" s="210" t="s">
        <v>921</v>
      </c>
      <c r="B72" s="211" t="s">
        <v>851</v>
      </c>
      <c r="C72" s="8" t="s">
        <v>769</v>
      </c>
      <c r="D72" s="7" t="s">
        <v>559</v>
      </c>
      <c r="E72" s="7" t="s">
        <v>922</v>
      </c>
      <c r="F72" s="9">
        <v>46120</v>
      </c>
      <c r="G72" s="9">
        <v>46154</v>
      </c>
      <c r="H72" s="7" t="s">
        <v>89</v>
      </c>
      <c r="I72" s="212" t="s">
        <v>621</v>
      </c>
      <c r="J72" s="213" t="s">
        <v>105</v>
      </c>
      <c r="K72" s="12">
        <v>3450</v>
      </c>
      <c r="L72" s="214">
        <v>0</v>
      </c>
      <c r="M72" s="324">
        <v>0</v>
      </c>
      <c r="N72" s="215">
        <f t="shared" si="2"/>
        <v>3450</v>
      </c>
      <c r="O72" s="216">
        <v>0</v>
      </c>
      <c r="P72"/>
      <c r="Q72"/>
    </row>
    <row r="73" spans="1:17" ht="15" hidden="1" customHeight="1">
      <c r="A73" s="210" t="s">
        <v>923</v>
      </c>
      <c r="B73" s="211" t="s">
        <v>768</v>
      </c>
      <c r="C73" s="8" t="s">
        <v>769</v>
      </c>
      <c r="D73" s="7" t="s">
        <v>559</v>
      </c>
      <c r="E73" s="7" t="s">
        <v>924</v>
      </c>
      <c r="F73" s="9">
        <v>46131</v>
      </c>
      <c r="G73" s="9">
        <v>46155</v>
      </c>
      <c r="H73" s="7" t="s">
        <v>507</v>
      </c>
      <c r="I73" s="212" t="s">
        <v>240</v>
      </c>
      <c r="J73" s="213" t="s">
        <v>105</v>
      </c>
      <c r="K73" s="12">
        <v>3050</v>
      </c>
      <c r="L73" s="214">
        <v>180</v>
      </c>
      <c r="M73" s="324">
        <v>0</v>
      </c>
      <c r="N73" s="215">
        <f t="shared" si="2"/>
        <v>3230</v>
      </c>
      <c r="O73" s="216">
        <v>0</v>
      </c>
      <c r="P73"/>
      <c r="Q73"/>
    </row>
    <row r="74" spans="1:17" ht="15" hidden="1" customHeight="1">
      <c r="A74" s="210" t="s">
        <v>925</v>
      </c>
      <c r="B74" s="211" t="s">
        <v>772</v>
      </c>
      <c r="C74" s="8" t="s">
        <v>769</v>
      </c>
      <c r="D74" s="7" t="s">
        <v>559</v>
      </c>
      <c r="E74" s="7" t="s">
        <v>926</v>
      </c>
      <c r="F74" s="9">
        <v>46127</v>
      </c>
      <c r="G74" s="9">
        <v>46155</v>
      </c>
      <c r="H74" s="7" t="s">
        <v>89</v>
      </c>
      <c r="I74" s="212" t="s">
        <v>66</v>
      </c>
      <c r="J74" s="213" t="s">
        <v>105</v>
      </c>
      <c r="K74" s="12">
        <v>3350</v>
      </c>
      <c r="L74" s="214">
        <v>0</v>
      </c>
      <c r="M74" s="324">
        <v>0</v>
      </c>
      <c r="N74" s="215">
        <f t="shared" si="2"/>
        <v>3350</v>
      </c>
      <c r="O74" s="216">
        <v>0</v>
      </c>
      <c r="P74"/>
      <c r="Q74"/>
    </row>
    <row r="75" spans="1:17" ht="15" hidden="1" customHeight="1">
      <c r="A75" s="210" t="s">
        <v>927</v>
      </c>
      <c r="B75" s="211" t="s">
        <v>782</v>
      </c>
      <c r="C75" s="8" t="s">
        <v>769</v>
      </c>
      <c r="D75" s="7" t="s">
        <v>559</v>
      </c>
      <c r="E75" s="7" t="s">
        <v>928</v>
      </c>
      <c r="F75" s="9">
        <v>46133</v>
      </c>
      <c r="G75" s="9">
        <v>46159</v>
      </c>
      <c r="H75" s="7" t="s">
        <v>100</v>
      </c>
      <c r="I75" s="212" t="s">
        <v>66</v>
      </c>
      <c r="J75" s="213" t="s">
        <v>105</v>
      </c>
      <c r="K75" s="12">
        <v>2900</v>
      </c>
      <c r="L75" s="214">
        <v>180</v>
      </c>
      <c r="M75" s="324">
        <v>0</v>
      </c>
      <c r="N75" s="215">
        <f t="shared" si="2"/>
        <v>3080</v>
      </c>
      <c r="O75" s="216">
        <v>0</v>
      </c>
      <c r="P75"/>
      <c r="Q75"/>
    </row>
    <row r="76" spans="1:17" ht="15" customHeight="1">
      <c r="A76" s="210" t="s">
        <v>929</v>
      </c>
      <c r="B76" s="211" t="s">
        <v>815</v>
      </c>
      <c r="C76" s="8" t="s">
        <v>769</v>
      </c>
      <c r="D76" s="7" t="s">
        <v>559</v>
      </c>
      <c r="E76" s="7" t="s">
        <v>930</v>
      </c>
      <c r="F76" s="9">
        <v>46133</v>
      </c>
      <c r="G76" s="9">
        <v>46159</v>
      </c>
      <c r="H76" s="7" t="s">
        <v>100</v>
      </c>
      <c r="I76" s="212" t="s">
        <v>66</v>
      </c>
      <c r="J76" s="213" t="s">
        <v>105</v>
      </c>
      <c r="K76" s="12">
        <v>2900</v>
      </c>
      <c r="L76" s="214">
        <v>0</v>
      </c>
      <c r="M76" s="324">
        <v>0</v>
      </c>
      <c r="N76" s="215">
        <f t="shared" si="2"/>
        <v>2900</v>
      </c>
      <c r="O76" s="216">
        <v>0</v>
      </c>
      <c r="P76"/>
      <c r="Q76"/>
    </row>
    <row r="77" spans="1:17" ht="15" hidden="1" customHeight="1">
      <c r="A77" s="210" t="s">
        <v>931</v>
      </c>
      <c r="B77" s="211" t="s">
        <v>768</v>
      </c>
      <c r="C77" s="8" t="s">
        <v>769</v>
      </c>
      <c r="D77" s="7" t="s">
        <v>559</v>
      </c>
      <c r="E77" s="7" t="s">
        <v>932</v>
      </c>
      <c r="F77" s="9">
        <v>46133</v>
      </c>
      <c r="G77" s="9">
        <v>46159</v>
      </c>
      <c r="H77" s="7" t="s">
        <v>100</v>
      </c>
      <c r="I77" s="212" t="s">
        <v>66</v>
      </c>
      <c r="J77" s="213" t="s">
        <v>105</v>
      </c>
      <c r="K77" s="12">
        <v>2900</v>
      </c>
      <c r="L77" s="214">
        <v>180</v>
      </c>
      <c r="M77" s="324">
        <v>0</v>
      </c>
      <c r="N77" s="215">
        <f t="shared" si="2"/>
        <v>3080</v>
      </c>
      <c r="O77" s="216">
        <v>0</v>
      </c>
      <c r="P77"/>
      <c r="Q77"/>
    </row>
    <row r="78" spans="1:17" ht="15" hidden="1" customHeight="1">
      <c r="A78" s="210" t="s">
        <v>933</v>
      </c>
      <c r="B78" s="211" t="s">
        <v>782</v>
      </c>
      <c r="C78" s="8" t="s">
        <v>769</v>
      </c>
      <c r="D78" s="7" t="s">
        <v>559</v>
      </c>
      <c r="E78" s="7" t="s">
        <v>934</v>
      </c>
      <c r="F78" s="9">
        <v>46132</v>
      </c>
      <c r="G78" s="9">
        <v>46159</v>
      </c>
      <c r="H78" s="7" t="s">
        <v>89</v>
      </c>
      <c r="I78" s="212" t="s">
        <v>66</v>
      </c>
      <c r="J78" s="213" t="s">
        <v>105</v>
      </c>
      <c r="K78" s="12">
        <v>3100</v>
      </c>
      <c r="L78" s="214">
        <v>180</v>
      </c>
      <c r="M78" s="324">
        <v>0</v>
      </c>
      <c r="N78" s="215">
        <f t="shared" si="2"/>
        <v>3280</v>
      </c>
      <c r="O78" s="216">
        <v>0</v>
      </c>
      <c r="P78"/>
      <c r="Q78"/>
    </row>
    <row r="79" spans="1:17" ht="15" hidden="1" customHeight="1">
      <c r="A79" s="210" t="s">
        <v>935</v>
      </c>
      <c r="B79" s="211" t="s">
        <v>782</v>
      </c>
      <c r="C79" s="8" t="s">
        <v>769</v>
      </c>
      <c r="D79" s="7" t="s">
        <v>559</v>
      </c>
      <c r="E79" s="7" t="s">
        <v>936</v>
      </c>
      <c r="F79" s="9">
        <v>46129</v>
      </c>
      <c r="G79" s="9">
        <v>46161</v>
      </c>
      <c r="H79" s="7" t="s">
        <v>89</v>
      </c>
      <c r="I79" s="212" t="s">
        <v>240</v>
      </c>
      <c r="J79" s="213" t="s">
        <v>105</v>
      </c>
      <c r="K79" s="12">
        <v>3100</v>
      </c>
      <c r="L79" s="214">
        <v>180</v>
      </c>
      <c r="M79" s="324">
        <v>0</v>
      </c>
      <c r="N79" s="215">
        <f t="shared" si="2"/>
        <v>3280</v>
      </c>
      <c r="O79" s="216">
        <v>0</v>
      </c>
      <c r="P79"/>
      <c r="Q79"/>
    </row>
    <row r="80" spans="1:17" ht="15" hidden="1" customHeight="1">
      <c r="A80" s="210" t="s">
        <v>937</v>
      </c>
      <c r="B80" s="211" t="s">
        <v>772</v>
      </c>
      <c r="C80" s="8" t="s">
        <v>769</v>
      </c>
      <c r="D80" s="7" t="s">
        <v>559</v>
      </c>
      <c r="E80" s="7" t="s">
        <v>938</v>
      </c>
      <c r="F80" s="9">
        <v>46136</v>
      </c>
      <c r="G80" s="9">
        <v>46161</v>
      </c>
      <c r="H80" s="7" t="s">
        <v>89</v>
      </c>
      <c r="I80" s="212" t="s">
        <v>66</v>
      </c>
      <c r="J80" s="213" t="s">
        <v>105</v>
      </c>
      <c r="K80" s="12">
        <v>3100</v>
      </c>
      <c r="L80" s="214">
        <v>0</v>
      </c>
      <c r="M80" s="324">
        <v>0</v>
      </c>
      <c r="N80" s="215">
        <f t="shared" si="2"/>
        <v>3100</v>
      </c>
      <c r="O80" s="216">
        <v>0</v>
      </c>
      <c r="P80"/>
      <c r="Q80"/>
    </row>
    <row r="81" spans="1:17" ht="15" customHeight="1">
      <c r="A81" s="210" t="s">
        <v>939</v>
      </c>
      <c r="B81" s="211" t="s">
        <v>815</v>
      </c>
      <c r="C81" s="8" t="s">
        <v>769</v>
      </c>
      <c r="D81" s="7" t="s">
        <v>559</v>
      </c>
      <c r="E81" s="7" t="s">
        <v>940</v>
      </c>
      <c r="F81" s="9">
        <v>46136</v>
      </c>
      <c r="G81" s="9">
        <v>46161</v>
      </c>
      <c r="H81" s="7" t="s">
        <v>89</v>
      </c>
      <c r="I81" s="212" t="s">
        <v>66</v>
      </c>
      <c r="J81" s="213" t="s">
        <v>105</v>
      </c>
      <c r="K81" s="12">
        <v>3100</v>
      </c>
      <c r="L81" s="214">
        <v>0</v>
      </c>
      <c r="M81" s="324">
        <v>0</v>
      </c>
      <c r="N81" s="215">
        <f t="shared" si="2"/>
        <v>3100</v>
      </c>
      <c r="O81" s="216">
        <v>0</v>
      </c>
      <c r="P81"/>
      <c r="Q81"/>
    </row>
    <row r="82" spans="1:17" ht="15" customHeight="1">
      <c r="A82" s="210" t="s">
        <v>941</v>
      </c>
      <c r="B82" s="211" t="s">
        <v>815</v>
      </c>
      <c r="C82" s="8" t="s">
        <v>769</v>
      </c>
      <c r="D82" s="7" t="s">
        <v>559</v>
      </c>
      <c r="E82" s="7" t="s">
        <v>942</v>
      </c>
      <c r="F82" s="9">
        <v>46109</v>
      </c>
      <c r="G82" s="9">
        <v>46177</v>
      </c>
      <c r="H82" s="7" t="s">
        <v>507</v>
      </c>
      <c r="I82" s="212" t="s">
        <v>943</v>
      </c>
      <c r="J82" s="213" t="s">
        <v>105</v>
      </c>
      <c r="K82" s="12">
        <v>4350</v>
      </c>
      <c r="L82" s="214">
        <v>0</v>
      </c>
      <c r="M82" s="324">
        <v>0</v>
      </c>
      <c r="N82" s="215">
        <f t="shared" ref="N82:N113" si="3">SUM(K82+L82)</f>
        <v>4350</v>
      </c>
      <c r="O82" s="216">
        <v>0</v>
      </c>
      <c r="P82"/>
      <c r="Q82"/>
    </row>
    <row r="83" spans="1:17" ht="15" hidden="1" customHeight="1">
      <c r="A83" s="210" t="s">
        <v>944</v>
      </c>
      <c r="B83" s="211" t="s">
        <v>804</v>
      </c>
      <c r="C83" s="8" t="s">
        <v>769</v>
      </c>
      <c r="D83" s="7" t="s">
        <v>559</v>
      </c>
      <c r="E83" s="7" t="s">
        <v>945</v>
      </c>
      <c r="F83" s="9">
        <v>46134</v>
      </c>
      <c r="G83" s="9">
        <v>46168</v>
      </c>
      <c r="H83" s="7" t="s">
        <v>89</v>
      </c>
      <c r="I83" s="212" t="s">
        <v>621</v>
      </c>
      <c r="J83" s="213" t="s">
        <v>105</v>
      </c>
      <c r="K83" s="12">
        <v>3100</v>
      </c>
      <c r="L83" s="214">
        <v>0</v>
      </c>
      <c r="M83" s="324">
        <v>0</v>
      </c>
      <c r="N83" s="215">
        <f t="shared" si="3"/>
        <v>3100</v>
      </c>
      <c r="O83" s="216">
        <v>0</v>
      </c>
      <c r="P83"/>
      <c r="Q83"/>
    </row>
    <row r="84" spans="1:17" ht="15" hidden="1" customHeight="1">
      <c r="A84" s="210" t="s">
        <v>946</v>
      </c>
      <c r="B84" s="211" t="s">
        <v>768</v>
      </c>
      <c r="C84" s="8" t="s">
        <v>769</v>
      </c>
      <c r="D84" s="7" t="s">
        <v>559</v>
      </c>
      <c r="E84" s="7" t="s">
        <v>947</v>
      </c>
      <c r="F84" s="9">
        <v>46143</v>
      </c>
      <c r="G84" s="9">
        <v>46168</v>
      </c>
      <c r="H84" s="7" t="s">
        <v>89</v>
      </c>
      <c r="I84" s="212" t="s">
        <v>66</v>
      </c>
      <c r="J84" s="213" t="s">
        <v>105</v>
      </c>
      <c r="K84" s="12">
        <v>3100</v>
      </c>
      <c r="L84" s="214">
        <v>180</v>
      </c>
      <c r="M84" s="324">
        <v>0</v>
      </c>
      <c r="N84" s="215">
        <f t="shared" si="3"/>
        <v>3280</v>
      </c>
      <c r="O84" s="216">
        <v>0</v>
      </c>
      <c r="P84"/>
      <c r="Q84"/>
    </row>
    <row r="85" spans="1:17" ht="15" hidden="1" customHeight="1">
      <c r="A85" s="210" t="s">
        <v>948</v>
      </c>
      <c r="B85" s="211" t="s">
        <v>851</v>
      </c>
      <c r="C85" s="8" t="s">
        <v>769</v>
      </c>
      <c r="D85" s="7" t="s">
        <v>559</v>
      </c>
      <c r="E85" s="7" t="s">
        <v>949</v>
      </c>
      <c r="F85" s="9">
        <v>46141</v>
      </c>
      <c r="G85" s="9">
        <v>46175</v>
      </c>
      <c r="H85" s="7" t="s">
        <v>89</v>
      </c>
      <c r="I85" s="212" t="s">
        <v>621</v>
      </c>
      <c r="J85" s="213" t="s">
        <v>105</v>
      </c>
      <c r="K85" s="12">
        <v>3100</v>
      </c>
      <c r="L85" s="214">
        <v>0</v>
      </c>
      <c r="M85" s="324">
        <v>0</v>
      </c>
      <c r="N85" s="215">
        <f t="shared" si="3"/>
        <v>3100</v>
      </c>
      <c r="O85" s="216">
        <v>0</v>
      </c>
      <c r="P85"/>
      <c r="Q85"/>
    </row>
    <row r="86" spans="1:17" ht="15" hidden="1" customHeight="1">
      <c r="A86" s="210" t="s">
        <v>950</v>
      </c>
      <c r="B86" s="211" t="s">
        <v>822</v>
      </c>
      <c r="C86" s="8" t="s">
        <v>769</v>
      </c>
      <c r="D86" s="7" t="s">
        <v>559</v>
      </c>
      <c r="E86" s="7" t="s">
        <v>951</v>
      </c>
      <c r="F86" s="9">
        <v>46141</v>
      </c>
      <c r="G86" s="9">
        <v>46175</v>
      </c>
      <c r="H86" s="7" t="s">
        <v>89</v>
      </c>
      <c r="I86" s="212" t="s">
        <v>621</v>
      </c>
      <c r="J86" s="213" t="s">
        <v>105</v>
      </c>
      <c r="K86" s="12">
        <v>3100</v>
      </c>
      <c r="L86" s="214">
        <v>0</v>
      </c>
      <c r="M86" s="324">
        <v>0</v>
      </c>
      <c r="N86" s="215">
        <f t="shared" si="3"/>
        <v>3100</v>
      </c>
      <c r="O86" s="216">
        <v>0</v>
      </c>
      <c r="P86"/>
      <c r="Q86"/>
    </row>
    <row r="87" spans="1:17" ht="15" hidden="1" customHeight="1">
      <c r="A87" s="210" t="s">
        <v>952</v>
      </c>
      <c r="B87" s="211" t="s">
        <v>768</v>
      </c>
      <c r="C87" s="8" t="s">
        <v>769</v>
      </c>
      <c r="D87" s="7" t="s">
        <v>559</v>
      </c>
      <c r="E87" s="7" t="s">
        <v>953</v>
      </c>
      <c r="F87" s="9">
        <v>46146</v>
      </c>
      <c r="G87" s="9">
        <v>46175</v>
      </c>
      <c r="H87" s="7" t="s">
        <v>89</v>
      </c>
      <c r="I87" s="212" t="s">
        <v>66</v>
      </c>
      <c r="J87" s="213" t="s">
        <v>105</v>
      </c>
      <c r="K87" s="12">
        <v>3100</v>
      </c>
      <c r="L87" s="214">
        <v>180</v>
      </c>
      <c r="M87" s="324">
        <v>0</v>
      </c>
      <c r="N87" s="215">
        <f t="shared" si="3"/>
        <v>3280</v>
      </c>
      <c r="O87" s="216">
        <v>0</v>
      </c>
      <c r="P87"/>
      <c r="Q87"/>
    </row>
    <row r="88" spans="1:17" ht="15" hidden="1" customHeight="1">
      <c r="A88" s="210" t="s">
        <v>954</v>
      </c>
      <c r="B88" s="211" t="s">
        <v>856</v>
      </c>
      <c r="C88" s="8" t="s">
        <v>769</v>
      </c>
      <c r="D88" s="7" t="s">
        <v>559</v>
      </c>
      <c r="E88" s="7" t="s">
        <v>955</v>
      </c>
      <c r="F88" s="9">
        <v>46141</v>
      </c>
      <c r="G88" s="9">
        <v>46175</v>
      </c>
      <c r="H88" s="7" t="s">
        <v>149</v>
      </c>
      <c r="I88" s="212" t="s">
        <v>621</v>
      </c>
      <c r="J88" s="213" t="s">
        <v>105</v>
      </c>
      <c r="K88" s="12">
        <v>3050</v>
      </c>
      <c r="L88" s="214">
        <v>180</v>
      </c>
      <c r="M88" s="324">
        <v>0</v>
      </c>
      <c r="N88" s="215">
        <f t="shared" si="3"/>
        <v>3230</v>
      </c>
      <c r="O88" s="216">
        <v>0</v>
      </c>
      <c r="P88"/>
      <c r="Q88"/>
    </row>
    <row r="89" spans="1:17" ht="15" hidden="1" customHeight="1">
      <c r="A89" s="210" t="s">
        <v>956</v>
      </c>
      <c r="B89" s="211" t="s">
        <v>851</v>
      </c>
      <c r="C89" s="8" t="s">
        <v>769</v>
      </c>
      <c r="D89" s="7" t="s">
        <v>559</v>
      </c>
      <c r="E89" s="7" t="s">
        <v>957</v>
      </c>
      <c r="F89" s="9">
        <v>46154</v>
      </c>
      <c r="G89" s="9">
        <v>46176</v>
      </c>
      <c r="H89" s="7" t="s">
        <v>84</v>
      </c>
      <c r="I89" s="212" t="s">
        <v>85</v>
      </c>
      <c r="J89" s="213" t="s">
        <v>105</v>
      </c>
      <c r="K89" s="12">
        <v>3300</v>
      </c>
      <c r="L89" s="214">
        <v>0</v>
      </c>
      <c r="M89" s="324">
        <v>0</v>
      </c>
      <c r="N89" s="215">
        <f t="shared" si="3"/>
        <v>3300</v>
      </c>
      <c r="O89" s="216">
        <v>0</v>
      </c>
      <c r="P89"/>
      <c r="Q89"/>
    </row>
    <row r="90" spans="1:17" ht="15" hidden="1" customHeight="1">
      <c r="A90" s="210" t="s">
        <v>958</v>
      </c>
      <c r="B90" s="211" t="s">
        <v>851</v>
      </c>
      <c r="C90" s="8" t="s">
        <v>769</v>
      </c>
      <c r="D90" s="7" t="s">
        <v>559</v>
      </c>
      <c r="E90" s="7" t="s">
        <v>959</v>
      </c>
      <c r="F90" s="9">
        <v>46154</v>
      </c>
      <c r="G90" s="9">
        <v>46176</v>
      </c>
      <c r="H90" s="7" t="s">
        <v>84</v>
      </c>
      <c r="I90" s="212" t="s">
        <v>85</v>
      </c>
      <c r="J90" s="213" t="s">
        <v>105</v>
      </c>
      <c r="K90" s="12">
        <v>3300</v>
      </c>
      <c r="L90" s="214">
        <v>0</v>
      </c>
      <c r="M90" s="324">
        <v>0</v>
      </c>
      <c r="N90" s="215">
        <f t="shared" si="3"/>
        <v>3300</v>
      </c>
      <c r="O90" s="216">
        <v>0</v>
      </c>
      <c r="P90"/>
      <c r="Q90"/>
    </row>
    <row r="91" spans="1:17" ht="15" hidden="1" customHeight="1">
      <c r="A91" s="210" t="s">
        <v>960</v>
      </c>
      <c r="B91" s="211" t="s">
        <v>768</v>
      </c>
      <c r="C91" s="8" t="s">
        <v>769</v>
      </c>
      <c r="D91" s="7" t="s">
        <v>559</v>
      </c>
      <c r="E91" s="7" t="s">
        <v>961</v>
      </c>
      <c r="F91" s="9">
        <v>46156</v>
      </c>
      <c r="G91" s="9">
        <v>46176</v>
      </c>
      <c r="H91" s="7" t="s">
        <v>507</v>
      </c>
      <c r="I91" s="212" t="s">
        <v>66</v>
      </c>
      <c r="J91" s="213" t="s">
        <v>105</v>
      </c>
      <c r="K91" s="12">
        <v>3650</v>
      </c>
      <c r="L91" s="214">
        <v>180</v>
      </c>
      <c r="M91" s="324">
        <v>0</v>
      </c>
      <c r="N91" s="215">
        <f t="shared" si="3"/>
        <v>3830</v>
      </c>
      <c r="O91" s="216">
        <v>0</v>
      </c>
      <c r="P91"/>
      <c r="Q91"/>
    </row>
    <row r="92" spans="1:17" ht="15" hidden="1" customHeight="1">
      <c r="A92" s="210" t="s">
        <v>962</v>
      </c>
      <c r="B92" s="211" t="s">
        <v>772</v>
      </c>
      <c r="C92" s="8" t="s">
        <v>769</v>
      </c>
      <c r="D92" s="7" t="s">
        <v>559</v>
      </c>
      <c r="E92" s="7" t="s">
        <v>963</v>
      </c>
      <c r="F92" s="9">
        <v>46156</v>
      </c>
      <c r="G92" s="9">
        <v>46176</v>
      </c>
      <c r="H92" s="7" t="s">
        <v>507</v>
      </c>
      <c r="I92" s="212" t="s">
        <v>66</v>
      </c>
      <c r="J92" s="213" t="s">
        <v>105</v>
      </c>
      <c r="K92" s="12">
        <v>3650</v>
      </c>
      <c r="L92" s="214">
        <v>0</v>
      </c>
      <c r="M92" s="324">
        <v>0</v>
      </c>
      <c r="N92" s="215">
        <f t="shared" si="3"/>
        <v>3650</v>
      </c>
      <c r="O92" s="216">
        <v>0</v>
      </c>
      <c r="P92"/>
      <c r="Q92"/>
    </row>
    <row r="93" spans="1:17" ht="15" hidden="1" customHeight="1">
      <c r="A93" s="210" t="s">
        <v>964</v>
      </c>
      <c r="B93" s="211" t="s">
        <v>851</v>
      </c>
      <c r="C93" s="8" t="s">
        <v>769</v>
      </c>
      <c r="D93" s="7" t="s">
        <v>559</v>
      </c>
      <c r="E93" s="7" t="s">
        <v>965</v>
      </c>
      <c r="F93" s="9">
        <v>46148</v>
      </c>
      <c r="G93" s="9">
        <v>46182</v>
      </c>
      <c r="H93" s="7" t="s">
        <v>89</v>
      </c>
      <c r="I93" s="212" t="s">
        <v>621</v>
      </c>
      <c r="J93" s="213" t="s">
        <v>105</v>
      </c>
      <c r="K93" s="12">
        <v>3100</v>
      </c>
      <c r="L93" s="214">
        <v>0</v>
      </c>
      <c r="M93" s="324">
        <v>0</v>
      </c>
      <c r="N93" s="215">
        <f t="shared" si="3"/>
        <v>3100</v>
      </c>
      <c r="O93" s="216">
        <v>0</v>
      </c>
      <c r="P93"/>
      <c r="Q93"/>
    </row>
    <row r="94" spans="1:17" ht="15" hidden="1" customHeight="1">
      <c r="A94" s="210" t="s">
        <v>966</v>
      </c>
      <c r="B94" s="211" t="s">
        <v>851</v>
      </c>
      <c r="C94" s="8" t="s">
        <v>769</v>
      </c>
      <c r="D94" s="7" t="s">
        <v>559</v>
      </c>
      <c r="E94" s="7" t="s">
        <v>967</v>
      </c>
      <c r="F94" s="9">
        <v>46148</v>
      </c>
      <c r="G94" s="9">
        <v>46182</v>
      </c>
      <c r="H94" s="7" t="s">
        <v>89</v>
      </c>
      <c r="I94" s="212" t="s">
        <v>621</v>
      </c>
      <c r="J94" s="213" t="s">
        <v>105</v>
      </c>
      <c r="K94" s="12">
        <v>3100</v>
      </c>
      <c r="L94" s="214">
        <v>0</v>
      </c>
      <c r="M94" s="324">
        <v>0</v>
      </c>
      <c r="N94" s="215">
        <f t="shared" si="3"/>
        <v>3100</v>
      </c>
      <c r="O94" s="216">
        <v>0</v>
      </c>
      <c r="P94"/>
      <c r="Q94"/>
    </row>
    <row r="95" spans="1:17" ht="15" customHeight="1">
      <c r="A95" s="210" t="s">
        <v>968</v>
      </c>
      <c r="B95" s="211" t="s">
        <v>815</v>
      </c>
      <c r="C95" s="8" t="s">
        <v>769</v>
      </c>
      <c r="D95" s="7" t="s">
        <v>559</v>
      </c>
      <c r="E95" s="7" t="s">
        <v>969</v>
      </c>
      <c r="F95" s="9">
        <v>46158</v>
      </c>
      <c r="G95" s="9">
        <v>46183</v>
      </c>
      <c r="H95" s="7" t="s">
        <v>84</v>
      </c>
      <c r="I95" s="212" t="s">
        <v>316</v>
      </c>
      <c r="J95" s="213" t="s">
        <v>105</v>
      </c>
      <c r="K95" s="12">
        <v>3050</v>
      </c>
      <c r="L95" s="214">
        <v>0</v>
      </c>
      <c r="M95" s="324">
        <v>0</v>
      </c>
      <c r="N95" s="215">
        <f t="shared" si="3"/>
        <v>3050</v>
      </c>
      <c r="O95" s="216">
        <v>0</v>
      </c>
      <c r="P95"/>
      <c r="Q95"/>
    </row>
    <row r="96" spans="1:17" ht="15" hidden="1" customHeight="1">
      <c r="A96" s="210" t="s">
        <v>970</v>
      </c>
      <c r="B96" s="211" t="s">
        <v>768</v>
      </c>
      <c r="C96" s="8" t="s">
        <v>769</v>
      </c>
      <c r="D96" s="7" t="s">
        <v>559</v>
      </c>
      <c r="E96" s="7" t="s">
        <v>971</v>
      </c>
      <c r="F96" s="9">
        <v>46156</v>
      </c>
      <c r="G96" s="9">
        <v>46183</v>
      </c>
      <c r="H96" s="7" t="s">
        <v>507</v>
      </c>
      <c r="I96" s="212" t="s">
        <v>66</v>
      </c>
      <c r="J96" s="213" t="s">
        <v>105</v>
      </c>
      <c r="K96" s="12">
        <v>3650</v>
      </c>
      <c r="L96" s="214">
        <v>180</v>
      </c>
      <c r="M96" s="324">
        <v>0</v>
      </c>
      <c r="N96" s="215">
        <f t="shared" si="3"/>
        <v>3830</v>
      </c>
      <c r="O96" s="216">
        <v>0</v>
      </c>
      <c r="P96"/>
      <c r="Q96"/>
    </row>
    <row r="97" spans="1:17" ht="15" hidden="1" customHeight="1">
      <c r="A97" s="210" t="s">
        <v>972</v>
      </c>
      <c r="B97" s="211" t="s">
        <v>768</v>
      </c>
      <c r="C97" s="8" t="s">
        <v>769</v>
      </c>
      <c r="D97" s="7" t="s">
        <v>559</v>
      </c>
      <c r="E97" s="7" t="s">
        <v>973</v>
      </c>
      <c r="F97" s="9">
        <v>46158</v>
      </c>
      <c r="G97" s="9">
        <v>46186</v>
      </c>
      <c r="H97" s="7" t="s">
        <v>84</v>
      </c>
      <c r="I97" s="212" t="s">
        <v>66</v>
      </c>
      <c r="J97" s="213" t="s">
        <v>105</v>
      </c>
      <c r="K97" s="12">
        <v>3300</v>
      </c>
      <c r="L97" s="214">
        <v>180</v>
      </c>
      <c r="M97" s="324">
        <v>0</v>
      </c>
      <c r="N97" s="215">
        <f t="shared" si="3"/>
        <v>3480</v>
      </c>
      <c r="O97" s="216">
        <v>0</v>
      </c>
      <c r="P97"/>
      <c r="Q97"/>
    </row>
    <row r="98" spans="1:17" ht="15" hidden="1" customHeight="1">
      <c r="A98" s="210" t="s">
        <v>974</v>
      </c>
      <c r="B98" s="211" t="s">
        <v>772</v>
      </c>
      <c r="C98" s="8" t="s">
        <v>769</v>
      </c>
      <c r="D98" s="7" t="s">
        <v>559</v>
      </c>
      <c r="E98" s="7" t="s">
        <v>975</v>
      </c>
      <c r="F98" s="9">
        <v>46161</v>
      </c>
      <c r="G98" s="9">
        <v>46189</v>
      </c>
      <c r="H98" s="7" t="s">
        <v>482</v>
      </c>
      <c r="I98" s="212" t="s">
        <v>66</v>
      </c>
      <c r="J98" s="213" t="s">
        <v>105</v>
      </c>
      <c r="K98" s="12">
        <v>4150</v>
      </c>
      <c r="L98" s="214">
        <v>0</v>
      </c>
      <c r="M98" s="324">
        <v>0</v>
      </c>
      <c r="N98" s="215">
        <f t="shared" si="3"/>
        <v>4150</v>
      </c>
      <c r="O98" s="216">
        <v>0</v>
      </c>
      <c r="P98"/>
      <c r="Q98"/>
    </row>
    <row r="99" spans="1:17" ht="15" hidden="1" customHeight="1">
      <c r="A99" s="210" t="s">
        <v>976</v>
      </c>
      <c r="B99" s="211" t="s">
        <v>851</v>
      </c>
      <c r="C99" s="8" t="s">
        <v>769</v>
      </c>
      <c r="D99" s="7" t="s">
        <v>559</v>
      </c>
      <c r="E99" s="7" t="s">
        <v>977</v>
      </c>
      <c r="F99" s="9">
        <v>46155</v>
      </c>
      <c r="G99" s="9">
        <v>46189</v>
      </c>
      <c r="H99" s="7" t="s">
        <v>89</v>
      </c>
      <c r="I99" s="212" t="s">
        <v>621</v>
      </c>
      <c r="J99" s="213" t="s">
        <v>105</v>
      </c>
      <c r="K99" s="12">
        <v>3300</v>
      </c>
      <c r="L99" s="214">
        <v>0</v>
      </c>
      <c r="M99" s="324">
        <v>0</v>
      </c>
      <c r="N99" s="215">
        <f t="shared" si="3"/>
        <v>3300</v>
      </c>
      <c r="O99" s="216">
        <v>0</v>
      </c>
      <c r="P99"/>
      <c r="Q99"/>
    </row>
    <row r="100" spans="1:17" ht="15" hidden="1" customHeight="1">
      <c r="A100" s="210" t="s">
        <v>978</v>
      </c>
      <c r="B100" s="211" t="s">
        <v>768</v>
      </c>
      <c r="C100" s="8" t="s">
        <v>769</v>
      </c>
      <c r="D100" s="7" t="s">
        <v>559</v>
      </c>
      <c r="E100" s="7" t="s">
        <v>979</v>
      </c>
      <c r="F100" s="9">
        <v>46161</v>
      </c>
      <c r="G100" s="9">
        <v>46189</v>
      </c>
      <c r="H100" s="7" t="s">
        <v>482</v>
      </c>
      <c r="I100" s="212" t="s">
        <v>66</v>
      </c>
      <c r="J100" s="213" t="s">
        <v>105</v>
      </c>
      <c r="K100" s="12">
        <v>4150</v>
      </c>
      <c r="L100" s="214">
        <v>180</v>
      </c>
      <c r="M100" s="324">
        <v>0</v>
      </c>
      <c r="N100" s="215">
        <f t="shared" si="3"/>
        <v>4330</v>
      </c>
      <c r="O100" s="216">
        <v>0</v>
      </c>
      <c r="P100"/>
      <c r="Q100"/>
    </row>
    <row r="101" spans="1:17" ht="15" hidden="1" customHeight="1">
      <c r="A101" s="210" t="s">
        <v>980</v>
      </c>
      <c r="B101" s="211" t="s">
        <v>981</v>
      </c>
      <c r="C101" s="8" t="s">
        <v>769</v>
      </c>
      <c r="D101" s="7" t="s">
        <v>559</v>
      </c>
      <c r="E101" s="7" t="s">
        <v>982</v>
      </c>
      <c r="F101" s="9">
        <v>46165</v>
      </c>
      <c r="G101" s="9">
        <v>46190</v>
      </c>
      <c r="H101" s="7" t="s">
        <v>84</v>
      </c>
      <c r="I101" s="212" t="s">
        <v>316</v>
      </c>
      <c r="J101" s="213" t="s">
        <v>105</v>
      </c>
      <c r="K101" s="12">
        <v>4000</v>
      </c>
      <c r="L101" s="214">
        <v>280</v>
      </c>
      <c r="M101" s="324">
        <v>0</v>
      </c>
      <c r="N101" s="215">
        <f t="shared" si="3"/>
        <v>4280</v>
      </c>
      <c r="O101" s="216">
        <v>0</v>
      </c>
      <c r="P101"/>
      <c r="Q101"/>
    </row>
    <row r="102" spans="1:17" ht="15" hidden="1" customHeight="1">
      <c r="A102" s="210" t="s">
        <v>983</v>
      </c>
      <c r="B102" s="211" t="s">
        <v>768</v>
      </c>
      <c r="C102" s="8" t="s">
        <v>769</v>
      </c>
      <c r="D102" s="7" t="s">
        <v>559</v>
      </c>
      <c r="E102" s="7" t="s">
        <v>984</v>
      </c>
      <c r="F102" s="9">
        <v>42125</v>
      </c>
      <c r="G102" s="9">
        <v>46209</v>
      </c>
      <c r="H102" s="7" t="s">
        <v>89</v>
      </c>
      <c r="I102" s="212" t="s">
        <v>66</v>
      </c>
      <c r="J102" s="213" t="s">
        <v>105</v>
      </c>
      <c r="K102" s="12">
        <v>4200</v>
      </c>
      <c r="L102" s="214">
        <v>180</v>
      </c>
      <c r="M102" s="324">
        <v>0</v>
      </c>
      <c r="N102" s="215">
        <f t="shared" si="3"/>
        <v>4380</v>
      </c>
      <c r="O102" s="216">
        <v>0</v>
      </c>
      <c r="P102"/>
      <c r="Q102"/>
    </row>
    <row r="103" spans="1:17" ht="15" customHeight="1">
      <c r="A103" s="210" t="s">
        <v>985</v>
      </c>
      <c r="B103" s="211" t="s">
        <v>986</v>
      </c>
      <c r="C103" s="8" t="s">
        <v>769</v>
      </c>
      <c r="D103" s="7" t="s">
        <v>559</v>
      </c>
      <c r="E103" s="7" t="s">
        <v>987</v>
      </c>
      <c r="F103" s="9">
        <v>46164</v>
      </c>
      <c r="G103" s="9">
        <v>46210</v>
      </c>
      <c r="H103" s="7" t="s">
        <v>149</v>
      </c>
      <c r="I103" s="212" t="s">
        <v>621</v>
      </c>
      <c r="J103" s="213" t="s">
        <v>105</v>
      </c>
      <c r="K103" s="12">
        <v>4350</v>
      </c>
      <c r="L103" s="214">
        <v>180</v>
      </c>
      <c r="M103" s="324">
        <v>0</v>
      </c>
      <c r="N103" s="215">
        <f t="shared" si="3"/>
        <v>4530</v>
      </c>
      <c r="O103" s="216">
        <v>0</v>
      </c>
      <c r="P103"/>
      <c r="Q103"/>
    </row>
    <row r="104" spans="1:17" ht="15" hidden="1" customHeight="1">
      <c r="A104" s="210" t="s">
        <v>988</v>
      </c>
      <c r="B104" s="211" t="s">
        <v>787</v>
      </c>
      <c r="C104" s="8" t="s">
        <v>769</v>
      </c>
      <c r="D104" s="7" t="s">
        <v>559</v>
      </c>
      <c r="E104" s="7" t="s">
        <v>989</v>
      </c>
      <c r="F104" s="9">
        <v>46170</v>
      </c>
      <c r="G104" s="9">
        <v>46197</v>
      </c>
      <c r="H104" s="7" t="s">
        <v>149</v>
      </c>
      <c r="I104" s="212" t="s">
        <v>85</v>
      </c>
      <c r="J104" s="213" t="s">
        <v>105</v>
      </c>
      <c r="K104" s="12">
        <v>4500</v>
      </c>
      <c r="L104" s="214">
        <v>180</v>
      </c>
      <c r="M104" s="324">
        <v>0</v>
      </c>
      <c r="N104" s="215">
        <f t="shared" si="3"/>
        <v>4680</v>
      </c>
      <c r="O104" s="216">
        <v>0</v>
      </c>
      <c r="P104"/>
      <c r="Q104"/>
    </row>
    <row r="105" spans="1:17" ht="15" hidden="1" customHeight="1">
      <c r="A105" s="210" t="s">
        <v>990</v>
      </c>
      <c r="B105" s="211" t="s">
        <v>851</v>
      </c>
      <c r="C105" s="8" t="s">
        <v>769</v>
      </c>
      <c r="D105" s="7" t="s">
        <v>559</v>
      </c>
      <c r="E105" s="7" t="s">
        <v>991</v>
      </c>
      <c r="F105" s="9">
        <v>46176</v>
      </c>
      <c r="G105" s="9">
        <v>46199</v>
      </c>
      <c r="H105" s="7" t="s">
        <v>89</v>
      </c>
      <c r="I105" s="212" t="s">
        <v>621</v>
      </c>
      <c r="J105" s="213" t="s">
        <v>105</v>
      </c>
      <c r="K105" s="12">
        <v>5600</v>
      </c>
      <c r="L105" s="214">
        <v>0</v>
      </c>
      <c r="M105" s="324">
        <v>0</v>
      </c>
      <c r="N105" s="215">
        <f t="shared" si="3"/>
        <v>5600</v>
      </c>
      <c r="O105" s="216">
        <v>0</v>
      </c>
      <c r="P105"/>
      <c r="Q105"/>
    </row>
    <row r="106" spans="1:17" ht="15" customHeight="1">
      <c r="A106" s="210" t="s">
        <v>992</v>
      </c>
      <c r="B106" s="211" t="s">
        <v>815</v>
      </c>
      <c r="C106" s="8" t="s">
        <v>769</v>
      </c>
      <c r="D106" s="7" t="s">
        <v>559</v>
      </c>
      <c r="E106" s="7" t="s">
        <v>993</v>
      </c>
      <c r="F106" s="9">
        <v>46174</v>
      </c>
      <c r="G106" s="9">
        <v>46201</v>
      </c>
      <c r="H106" s="7" t="s">
        <v>89</v>
      </c>
      <c r="I106" s="212" t="s">
        <v>66</v>
      </c>
      <c r="J106" s="213" t="s">
        <v>105</v>
      </c>
      <c r="K106" s="12">
        <v>5500</v>
      </c>
      <c r="L106" s="214">
        <v>0</v>
      </c>
      <c r="M106" s="324">
        <v>0</v>
      </c>
      <c r="N106" s="215">
        <f t="shared" si="3"/>
        <v>5500</v>
      </c>
      <c r="O106" s="216">
        <v>0</v>
      </c>
      <c r="P106"/>
      <c r="Q106"/>
    </row>
    <row r="107" spans="1:17" ht="15" hidden="1" customHeight="1">
      <c r="A107" s="210" t="s">
        <v>994</v>
      </c>
      <c r="B107" s="211" t="s">
        <v>851</v>
      </c>
      <c r="C107" s="8" t="s">
        <v>769</v>
      </c>
      <c r="D107" s="7" t="s">
        <v>559</v>
      </c>
      <c r="E107" s="7" t="s">
        <v>995</v>
      </c>
      <c r="F107" s="9">
        <v>46176</v>
      </c>
      <c r="G107" s="9">
        <v>46217</v>
      </c>
      <c r="H107" s="7" t="s">
        <v>149</v>
      </c>
      <c r="I107" s="212" t="s">
        <v>621</v>
      </c>
      <c r="J107" s="213" t="s">
        <v>105</v>
      </c>
      <c r="K107" s="12">
        <v>5500</v>
      </c>
      <c r="L107" s="214">
        <v>0</v>
      </c>
      <c r="M107" s="324">
        <v>0</v>
      </c>
      <c r="N107" s="215">
        <f t="shared" si="3"/>
        <v>5500</v>
      </c>
      <c r="O107" s="216">
        <v>0</v>
      </c>
      <c r="P107"/>
      <c r="Q107"/>
    </row>
    <row r="108" spans="1:17" ht="15" customHeight="1">
      <c r="A108" s="210" t="s">
        <v>996</v>
      </c>
      <c r="B108" s="211" t="s">
        <v>815</v>
      </c>
      <c r="C108" s="8" t="s">
        <v>769</v>
      </c>
      <c r="D108" s="7" t="s">
        <v>559</v>
      </c>
      <c r="E108" s="7" t="s">
        <v>997</v>
      </c>
      <c r="F108" s="9">
        <v>46164</v>
      </c>
      <c r="G108" s="9">
        <v>46250</v>
      </c>
      <c r="H108" s="7" t="s">
        <v>89</v>
      </c>
      <c r="I108" s="212" t="s">
        <v>943</v>
      </c>
      <c r="J108" s="213" t="s">
        <v>105</v>
      </c>
      <c r="K108" s="12">
        <v>4000</v>
      </c>
      <c r="L108" s="214">
        <v>0</v>
      </c>
      <c r="M108" s="420">
        <v>370</v>
      </c>
      <c r="N108" s="215">
        <f t="shared" si="3"/>
        <v>4000</v>
      </c>
      <c r="O108" s="421">
        <v>370</v>
      </c>
      <c r="P108"/>
      <c r="Q108"/>
    </row>
    <row r="109" spans="1:17" ht="15" hidden="1" customHeight="1">
      <c r="A109" s="210" t="s">
        <v>998</v>
      </c>
      <c r="B109" s="211" t="s">
        <v>999</v>
      </c>
      <c r="C109" s="8" t="s">
        <v>769</v>
      </c>
      <c r="D109" s="7" t="s">
        <v>559</v>
      </c>
      <c r="E109" s="7" t="s">
        <v>1000</v>
      </c>
      <c r="F109" s="9">
        <v>46180</v>
      </c>
      <c r="G109" s="9">
        <v>46208</v>
      </c>
      <c r="H109" s="7" t="s">
        <v>507</v>
      </c>
      <c r="I109" s="212" t="s">
        <v>240</v>
      </c>
      <c r="J109" s="213" t="s">
        <v>105</v>
      </c>
      <c r="K109" s="12">
        <v>6100</v>
      </c>
      <c r="L109" s="214">
        <v>100</v>
      </c>
      <c r="M109" s="324">
        <v>0</v>
      </c>
      <c r="N109" s="215">
        <f t="shared" si="3"/>
        <v>6200</v>
      </c>
      <c r="O109" s="216">
        <v>0</v>
      </c>
      <c r="P109"/>
      <c r="Q109"/>
    </row>
    <row r="110" spans="1:17" ht="15" hidden="1" customHeight="1">
      <c r="A110" s="210" t="s">
        <v>1001</v>
      </c>
      <c r="B110" s="211" t="s">
        <v>804</v>
      </c>
      <c r="C110" s="8" t="s">
        <v>769</v>
      </c>
      <c r="D110" s="7" t="s">
        <v>559</v>
      </c>
      <c r="E110" s="7" t="s">
        <v>1002</v>
      </c>
      <c r="F110" s="9">
        <v>46183</v>
      </c>
      <c r="G110" s="9">
        <v>46217</v>
      </c>
      <c r="H110" s="7" t="s">
        <v>89</v>
      </c>
      <c r="I110" s="212" t="s">
        <v>621</v>
      </c>
      <c r="J110" s="213" t="s">
        <v>105</v>
      </c>
      <c r="K110" s="12">
        <v>6300</v>
      </c>
      <c r="L110" s="214">
        <v>0</v>
      </c>
      <c r="M110" s="324">
        <v>0</v>
      </c>
      <c r="N110" s="215">
        <f t="shared" si="3"/>
        <v>6300</v>
      </c>
      <c r="O110" s="216">
        <v>0</v>
      </c>
      <c r="P110"/>
      <c r="Q110"/>
    </row>
    <row r="111" spans="1:17" ht="15" hidden="1" customHeight="1">
      <c r="A111" s="210" t="s">
        <v>1003</v>
      </c>
      <c r="B111" s="211" t="s">
        <v>851</v>
      </c>
      <c r="C111" s="8" t="s">
        <v>769</v>
      </c>
      <c r="D111" s="7" t="s">
        <v>559</v>
      </c>
      <c r="E111" s="7" t="s">
        <v>1004</v>
      </c>
      <c r="F111" s="9">
        <v>46183</v>
      </c>
      <c r="G111" s="9">
        <v>46217</v>
      </c>
      <c r="H111" s="7" t="s">
        <v>89</v>
      </c>
      <c r="I111" s="212" t="s">
        <v>621</v>
      </c>
      <c r="J111" s="213" t="s">
        <v>105</v>
      </c>
      <c r="K111" s="12">
        <v>6300</v>
      </c>
      <c r="L111" s="214">
        <v>0</v>
      </c>
      <c r="M111" s="324">
        <v>0</v>
      </c>
      <c r="N111" s="215">
        <f t="shared" si="3"/>
        <v>6300</v>
      </c>
      <c r="O111" s="216">
        <v>0</v>
      </c>
      <c r="P111"/>
      <c r="Q111"/>
    </row>
    <row r="112" spans="1:17" ht="15" hidden="1" customHeight="1">
      <c r="A112" s="210" t="s">
        <v>1005</v>
      </c>
      <c r="B112" s="211" t="s">
        <v>856</v>
      </c>
      <c r="C112" s="8" t="s">
        <v>769</v>
      </c>
      <c r="D112" s="7" t="s">
        <v>559</v>
      </c>
      <c r="E112" s="7" t="s">
        <v>1006</v>
      </c>
      <c r="F112" s="9">
        <v>46181</v>
      </c>
      <c r="G112" s="9">
        <v>46210</v>
      </c>
      <c r="H112" s="7" t="s">
        <v>149</v>
      </c>
      <c r="I112" s="212" t="s">
        <v>85</v>
      </c>
      <c r="J112" s="213" t="s">
        <v>105</v>
      </c>
      <c r="K112" s="12">
        <v>6100</v>
      </c>
      <c r="L112" s="214">
        <v>180</v>
      </c>
      <c r="M112" s="324">
        <v>0</v>
      </c>
      <c r="N112" s="215">
        <f t="shared" si="3"/>
        <v>6280</v>
      </c>
      <c r="O112" s="216">
        <v>0</v>
      </c>
      <c r="P112"/>
      <c r="Q112"/>
    </row>
    <row r="113" spans="1:17" ht="15" hidden="1" customHeight="1">
      <c r="A113" s="210" t="s">
        <v>1007</v>
      </c>
      <c r="B113" s="211" t="s">
        <v>1008</v>
      </c>
      <c r="C113" s="8" t="s">
        <v>769</v>
      </c>
      <c r="D113" s="7" t="s">
        <v>559</v>
      </c>
      <c r="E113" s="7" t="s">
        <v>1009</v>
      </c>
      <c r="F113" s="9">
        <v>46183</v>
      </c>
      <c r="G113" s="9">
        <v>46217</v>
      </c>
      <c r="H113" s="7" t="s">
        <v>89</v>
      </c>
      <c r="I113" s="212" t="s">
        <v>621</v>
      </c>
      <c r="J113" s="213" t="s">
        <v>105</v>
      </c>
      <c r="K113" s="12">
        <v>6300</v>
      </c>
      <c r="L113" s="214">
        <v>0</v>
      </c>
      <c r="M113" s="324">
        <v>0</v>
      </c>
      <c r="N113" s="215">
        <f t="shared" si="3"/>
        <v>6300</v>
      </c>
      <c r="O113" s="216">
        <v>0</v>
      </c>
      <c r="P113"/>
      <c r="Q113"/>
    </row>
    <row r="114" spans="1:17" ht="15" hidden="1" customHeight="1">
      <c r="A114" s="210" t="s">
        <v>1010</v>
      </c>
      <c r="B114" s="211" t="s">
        <v>772</v>
      </c>
      <c r="C114" s="8" t="s">
        <v>769</v>
      </c>
      <c r="D114" s="7" t="s">
        <v>559</v>
      </c>
      <c r="E114" s="7" t="s">
        <v>1011</v>
      </c>
      <c r="F114" s="9">
        <v>46181</v>
      </c>
      <c r="G114" s="9">
        <v>46208</v>
      </c>
      <c r="H114" s="7" t="s">
        <v>89</v>
      </c>
      <c r="I114" s="212" t="s">
        <v>66</v>
      </c>
      <c r="J114" s="213" t="s">
        <v>105</v>
      </c>
      <c r="K114" s="12">
        <v>6250</v>
      </c>
      <c r="L114" s="214">
        <v>0</v>
      </c>
      <c r="M114" s="324">
        <v>0</v>
      </c>
      <c r="N114" s="215">
        <f t="shared" ref="N114:N123" si="4">SUM(K114+L114)</f>
        <v>6250</v>
      </c>
      <c r="O114" s="216">
        <v>0</v>
      </c>
      <c r="P114"/>
      <c r="Q114"/>
    </row>
    <row r="115" spans="1:17" ht="15" hidden="1" customHeight="1">
      <c r="A115" s="210" t="s">
        <v>1012</v>
      </c>
      <c r="B115" s="211" t="s">
        <v>782</v>
      </c>
      <c r="C115" s="8" t="s">
        <v>769</v>
      </c>
      <c r="D115" s="7" t="s">
        <v>559</v>
      </c>
      <c r="E115" s="7" t="s">
        <v>1013</v>
      </c>
      <c r="F115" s="9">
        <v>46194</v>
      </c>
      <c r="G115" s="9">
        <v>46224</v>
      </c>
      <c r="H115" s="7" t="s">
        <v>482</v>
      </c>
      <c r="I115" s="212" t="s">
        <v>66</v>
      </c>
      <c r="J115" s="213" t="s">
        <v>105</v>
      </c>
      <c r="K115" s="12">
        <v>6950</v>
      </c>
      <c r="L115" s="214">
        <v>0</v>
      </c>
      <c r="M115" s="324">
        <v>0</v>
      </c>
      <c r="N115" s="215">
        <f t="shared" si="4"/>
        <v>6950</v>
      </c>
      <c r="O115" s="216">
        <v>0</v>
      </c>
      <c r="P115"/>
      <c r="Q115"/>
    </row>
    <row r="116" spans="1:17" ht="15" hidden="1" customHeight="1">
      <c r="A116" s="210" t="s">
        <v>1014</v>
      </c>
      <c r="B116" s="211" t="s">
        <v>822</v>
      </c>
      <c r="C116" s="8" t="s">
        <v>769</v>
      </c>
      <c r="D116" s="7" t="s">
        <v>559</v>
      </c>
      <c r="E116" s="7" t="s">
        <v>1015</v>
      </c>
      <c r="F116" s="9">
        <v>46190</v>
      </c>
      <c r="G116" s="9">
        <v>46224</v>
      </c>
      <c r="H116" s="7" t="s">
        <v>89</v>
      </c>
      <c r="I116" s="212" t="s">
        <v>621</v>
      </c>
      <c r="J116" s="213" t="s">
        <v>105</v>
      </c>
      <c r="K116" s="12">
        <v>7000</v>
      </c>
      <c r="L116" s="214">
        <v>0</v>
      </c>
      <c r="M116" s="324">
        <v>0</v>
      </c>
      <c r="N116" s="215">
        <f t="shared" si="4"/>
        <v>7000</v>
      </c>
      <c r="O116" s="216">
        <v>0</v>
      </c>
      <c r="P116"/>
      <c r="Q116"/>
    </row>
    <row r="117" spans="1:17" ht="15" hidden="1" customHeight="1">
      <c r="A117" s="210" t="s">
        <v>1016</v>
      </c>
      <c r="B117" s="211" t="s">
        <v>43</v>
      </c>
      <c r="C117" s="8" t="s">
        <v>769</v>
      </c>
      <c r="D117" s="7" t="s">
        <v>559</v>
      </c>
      <c r="E117" s="7" t="s">
        <v>1017</v>
      </c>
      <c r="F117" s="9">
        <v>46181</v>
      </c>
      <c r="G117" s="9">
        <v>46208</v>
      </c>
      <c r="H117" s="7" t="s">
        <v>89</v>
      </c>
      <c r="I117" s="212" t="s">
        <v>66</v>
      </c>
      <c r="J117" s="213" t="s">
        <v>105</v>
      </c>
      <c r="K117" s="12">
        <v>6200</v>
      </c>
      <c r="L117" s="214">
        <v>180</v>
      </c>
      <c r="M117" s="324">
        <v>0</v>
      </c>
      <c r="N117" s="215">
        <f t="shared" si="4"/>
        <v>6380</v>
      </c>
      <c r="O117" s="216">
        <v>0</v>
      </c>
      <c r="P117"/>
      <c r="Q117"/>
    </row>
    <row r="118" spans="1:17" ht="15" hidden="1" customHeight="1">
      <c r="A118" s="210" t="s">
        <v>1018</v>
      </c>
      <c r="B118" s="211" t="s">
        <v>851</v>
      </c>
      <c r="C118" s="8" t="s">
        <v>769</v>
      </c>
      <c r="D118" s="7" t="s">
        <v>559</v>
      </c>
      <c r="E118" s="7" t="s">
        <v>1019</v>
      </c>
      <c r="F118" s="9">
        <v>46183</v>
      </c>
      <c r="G118" s="9">
        <v>46224</v>
      </c>
      <c r="H118" s="7" t="s">
        <v>149</v>
      </c>
      <c r="I118" s="212" t="s">
        <v>621</v>
      </c>
      <c r="J118" s="213" t="s">
        <v>105</v>
      </c>
      <c r="K118" s="12">
        <v>6200</v>
      </c>
      <c r="L118" s="214">
        <v>0</v>
      </c>
      <c r="M118" s="324">
        <v>0</v>
      </c>
      <c r="N118" s="215">
        <f t="shared" si="4"/>
        <v>6200</v>
      </c>
      <c r="O118" s="216">
        <v>0</v>
      </c>
      <c r="P118"/>
      <c r="Q118"/>
    </row>
    <row r="119" spans="1:17" ht="15" hidden="1" customHeight="1">
      <c r="A119" s="210" t="s">
        <v>1020</v>
      </c>
      <c r="B119" s="211" t="s">
        <v>768</v>
      </c>
      <c r="C119" s="8" t="s">
        <v>769</v>
      </c>
      <c r="D119" s="7" t="s">
        <v>559</v>
      </c>
      <c r="E119" s="7" t="s">
        <v>1021</v>
      </c>
      <c r="F119" s="9">
        <v>46171</v>
      </c>
      <c r="G119" s="9">
        <v>46207</v>
      </c>
      <c r="H119" s="7" t="s">
        <v>1022</v>
      </c>
      <c r="I119" s="212" t="s">
        <v>66</v>
      </c>
      <c r="J119" s="213" t="s">
        <v>105</v>
      </c>
      <c r="K119" s="12">
        <v>4900</v>
      </c>
      <c r="L119" s="214">
        <v>180</v>
      </c>
      <c r="M119" s="324">
        <v>0</v>
      </c>
      <c r="N119" s="215">
        <f t="shared" si="4"/>
        <v>5080</v>
      </c>
      <c r="O119" s="216">
        <v>0</v>
      </c>
      <c r="P119"/>
      <c r="Q119"/>
    </row>
    <row r="120" spans="1:17" ht="15" hidden="1" customHeight="1">
      <c r="A120" s="210" t="s">
        <v>1023</v>
      </c>
      <c r="B120" s="211" t="s">
        <v>768</v>
      </c>
      <c r="C120" s="8" t="s">
        <v>769</v>
      </c>
      <c r="D120" s="7" t="s">
        <v>559</v>
      </c>
      <c r="E120" s="7" t="s">
        <v>1024</v>
      </c>
      <c r="F120" s="9">
        <v>46185</v>
      </c>
      <c r="G120" s="9">
        <v>46210</v>
      </c>
      <c r="H120" s="7" t="s">
        <v>507</v>
      </c>
      <c r="I120" s="212" t="s">
        <v>66</v>
      </c>
      <c r="J120" s="213" t="s">
        <v>105</v>
      </c>
      <c r="K120" s="12">
        <v>6600</v>
      </c>
      <c r="L120" s="214">
        <v>180</v>
      </c>
      <c r="M120" s="324">
        <v>0</v>
      </c>
      <c r="N120" s="215">
        <f t="shared" si="4"/>
        <v>6780</v>
      </c>
      <c r="O120" s="216">
        <v>0</v>
      </c>
      <c r="P120"/>
      <c r="Q120"/>
    </row>
    <row r="121" spans="1:17" ht="15" hidden="1" customHeight="1">
      <c r="A121" s="210" t="s">
        <v>1025</v>
      </c>
      <c r="B121" s="211" t="s">
        <v>768</v>
      </c>
      <c r="C121" s="8" t="s">
        <v>769</v>
      </c>
      <c r="D121" s="7" t="s">
        <v>559</v>
      </c>
      <c r="E121" s="7" t="s">
        <v>1026</v>
      </c>
      <c r="F121" s="9">
        <v>46181</v>
      </c>
      <c r="G121" s="9">
        <v>46208</v>
      </c>
      <c r="H121" s="7" t="s">
        <v>89</v>
      </c>
      <c r="I121" s="212" t="s">
        <v>66</v>
      </c>
      <c r="J121" s="213" t="s">
        <v>105</v>
      </c>
      <c r="K121" s="12">
        <v>6250</v>
      </c>
      <c r="L121" s="214">
        <v>180</v>
      </c>
      <c r="M121" s="324">
        <v>0</v>
      </c>
      <c r="N121" s="215">
        <f t="shared" si="4"/>
        <v>6430</v>
      </c>
      <c r="O121" s="216">
        <v>0</v>
      </c>
      <c r="P121"/>
      <c r="Q121"/>
    </row>
    <row r="122" spans="1:17" ht="15" hidden="1" customHeight="1">
      <c r="A122" s="210" t="s">
        <v>1027</v>
      </c>
      <c r="B122" s="211" t="s">
        <v>768</v>
      </c>
      <c r="C122" s="8" t="s">
        <v>769</v>
      </c>
      <c r="D122" s="7" t="s">
        <v>559</v>
      </c>
      <c r="E122" s="7" t="s">
        <v>1028</v>
      </c>
      <c r="F122" s="9">
        <v>46181</v>
      </c>
      <c r="G122" s="9">
        <v>46208</v>
      </c>
      <c r="H122" s="7" t="s">
        <v>89</v>
      </c>
      <c r="I122" s="212" t="s">
        <v>66</v>
      </c>
      <c r="J122" s="213" t="s">
        <v>105</v>
      </c>
      <c r="K122" s="12">
        <v>6250</v>
      </c>
      <c r="L122" s="214">
        <v>180</v>
      </c>
      <c r="M122" s="324">
        <v>0</v>
      </c>
      <c r="N122" s="215">
        <f t="shared" si="4"/>
        <v>6430</v>
      </c>
      <c r="O122" s="216">
        <v>0</v>
      </c>
      <c r="P122"/>
      <c r="Q122"/>
    </row>
    <row r="123" spans="1:17" ht="15" hidden="1" customHeight="1">
      <c r="A123" s="210" t="s">
        <v>1029</v>
      </c>
      <c r="B123" s="211" t="s">
        <v>768</v>
      </c>
      <c r="C123" s="8" t="s">
        <v>769</v>
      </c>
      <c r="D123" s="7" t="s">
        <v>559</v>
      </c>
      <c r="E123" s="7" t="s">
        <v>1030</v>
      </c>
      <c r="F123" s="9">
        <v>46192</v>
      </c>
      <c r="G123" s="9">
        <v>46250</v>
      </c>
      <c r="H123" s="7" t="s">
        <v>89</v>
      </c>
      <c r="I123" s="212" t="s">
        <v>1031</v>
      </c>
      <c r="J123" s="213" t="s">
        <v>105</v>
      </c>
      <c r="K123" s="12">
        <v>5300</v>
      </c>
      <c r="L123" s="214">
        <v>0</v>
      </c>
      <c r="M123" s="420">
        <v>370</v>
      </c>
      <c r="N123" s="215">
        <f>SUM(K123+L123+M123)</f>
        <v>5670</v>
      </c>
      <c r="O123" s="421">
        <v>370</v>
      </c>
      <c r="P123"/>
      <c r="Q123"/>
    </row>
    <row r="124" spans="1:17" ht="15" hidden="1" customHeight="1">
      <c r="A124" s="210" t="s">
        <v>1032</v>
      </c>
      <c r="B124" s="211" t="s">
        <v>772</v>
      </c>
      <c r="C124" s="8" t="s">
        <v>769</v>
      </c>
      <c r="D124" s="7" t="s">
        <v>559</v>
      </c>
      <c r="E124" s="7" t="s">
        <v>1033</v>
      </c>
      <c r="F124" s="9">
        <v>46185</v>
      </c>
      <c r="G124" s="9">
        <v>46215</v>
      </c>
      <c r="H124" s="7" t="s">
        <v>507</v>
      </c>
      <c r="I124" s="212" t="s">
        <v>66</v>
      </c>
      <c r="J124" s="213" t="s">
        <v>105</v>
      </c>
      <c r="K124" s="12">
        <v>6600</v>
      </c>
      <c r="L124" s="214">
        <v>0</v>
      </c>
      <c r="M124" s="324">
        <v>0</v>
      </c>
      <c r="N124" s="215">
        <f t="shared" ref="N124:N131" si="5">SUM(K124+L124)</f>
        <v>6600</v>
      </c>
      <c r="O124" s="216">
        <v>0</v>
      </c>
      <c r="P124"/>
      <c r="Q124"/>
    </row>
    <row r="125" spans="1:17" ht="15" hidden="1" customHeight="1">
      <c r="A125" s="210" t="s">
        <v>1034</v>
      </c>
      <c r="B125" s="211" t="s">
        <v>772</v>
      </c>
      <c r="C125" s="8" t="s">
        <v>769</v>
      </c>
      <c r="D125" s="7" t="s">
        <v>559</v>
      </c>
      <c r="E125" s="7" t="s">
        <v>1035</v>
      </c>
      <c r="F125" s="9">
        <v>46185</v>
      </c>
      <c r="G125" s="9">
        <v>46215</v>
      </c>
      <c r="H125" s="7" t="s">
        <v>507</v>
      </c>
      <c r="I125" s="212" t="s">
        <v>66</v>
      </c>
      <c r="J125" s="213" t="s">
        <v>105</v>
      </c>
      <c r="K125" s="12">
        <v>6600</v>
      </c>
      <c r="L125" s="214">
        <v>0</v>
      </c>
      <c r="M125" s="324">
        <v>0</v>
      </c>
      <c r="N125" s="215">
        <f t="shared" si="5"/>
        <v>6600</v>
      </c>
      <c r="O125" s="216">
        <v>0</v>
      </c>
      <c r="P125"/>
      <c r="Q125"/>
    </row>
    <row r="126" spans="1:17" ht="15" hidden="1" customHeight="1">
      <c r="A126" s="210" t="s">
        <v>1036</v>
      </c>
      <c r="B126" s="211" t="s">
        <v>804</v>
      </c>
      <c r="C126" s="8" t="s">
        <v>769</v>
      </c>
      <c r="D126" s="7" t="s">
        <v>559</v>
      </c>
      <c r="E126" s="7" t="s">
        <v>1037</v>
      </c>
      <c r="F126" s="9">
        <v>46190</v>
      </c>
      <c r="G126" s="9">
        <v>46224</v>
      </c>
      <c r="H126" s="7" t="s">
        <v>89</v>
      </c>
      <c r="I126" s="212" t="s">
        <v>621</v>
      </c>
      <c r="J126" s="213" t="s">
        <v>105</v>
      </c>
      <c r="K126" s="12">
        <v>7000</v>
      </c>
      <c r="L126" s="214">
        <v>0</v>
      </c>
      <c r="M126" s="324">
        <v>0</v>
      </c>
      <c r="N126" s="215">
        <f t="shared" si="5"/>
        <v>7000</v>
      </c>
      <c r="O126" s="216">
        <v>0</v>
      </c>
      <c r="P126"/>
      <c r="Q126"/>
    </row>
    <row r="127" spans="1:17" ht="15" hidden="1" customHeight="1">
      <c r="A127" s="210" t="s">
        <v>1038</v>
      </c>
      <c r="B127" s="211" t="s">
        <v>999</v>
      </c>
      <c r="C127" s="8" t="s">
        <v>769</v>
      </c>
      <c r="D127" s="7" t="s">
        <v>559</v>
      </c>
      <c r="E127" s="7" t="s">
        <v>1039</v>
      </c>
      <c r="F127" s="9">
        <v>46185</v>
      </c>
      <c r="G127" s="9">
        <v>46224</v>
      </c>
      <c r="H127" s="7" t="s">
        <v>149</v>
      </c>
      <c r="I127" s="212" t="s">
        <v>240</v>
      </c>
      <c r="J127" s="213" t="s">
        <v>105</v>
      </c>
      <c r="K127" s="12">
        <v>6100</v>
      </c>
      <c r="L127" s="214">
        <v>280</v>
      </c>
      <c r="M127" s="324">
        <v>0</v>
      </c>
      <c r="N127" s="215">
        <f t="shared" si="5"/>
        <v>6380</v>
      </c>
      <c r="O127" s="216">
        <v>0</v>
      </c>
      <c r="P127"/>
      <c r="Q127"/>
    </row>
    <row r="128" spans="1:17" ht="15" hidden="1" customHeight="1">
      <c r="A128" s="210" t="s">
        <v>1040</v>
      </c>
      <c r="B128" s="211" t="s">
        <v>999</v>
      </c>
      <c r="C128" s="8" t="s">
        <v>769</v>
      </c>
      <c r="D128" s="7" t="s">
        <v>559</v>
      </c>
      <c r="E128" s="7" t="s">
        <v>1041</v>
      </c>
      <c r="F128" s="9">
        <v>46185</v>
      </c>
      <c r="G128" s="9">
        <v>46224</v>
      </c>
      <c r="H128" s="7" t="s">
        <v>149</v>
      </c>
      <c r="I128" s="212" t="s">
        <v>240</v>
      </c>
      <c r="J128" s="213" t="s">
        <v>105</v>
      </c>
      <c r="K128" s="12">
        <v>6100</v>
      </c>
      <c r="L128" s="214">
        <v>280</v>
      </c>
      <c r="M128" s="324">
        <v>0</v>
      </c>
      <c r="N128" s="215">
        <f t="shared" si="5"/>
        <v>6380</v>
      </c>
      <c r="O128" s="216">
        <v>0</v>
      </c>
      <c r="P128"/>
      <c r="Q128"/>
    </row>
    <row r="129" spans="1:17" ht="15" customHeight="1">
      <c r="A129" s="210" t="s">
        <v>1042</v>
      </c>
      <c r="B129" s="211" t="s">
        <v>815</v>
      </c>
      <c r="C129" s="8" t="s">
        <v>769</v>
      </c>
      <c r="D129" s="7" t="s">
        <v>559</v>
      </c>
      <c r="E129" s="7" t="s">
        <v>1043</v>
      </c>
      <c r="F129" s="9">
        <v>46188</v>
      </c>
      <c r="G129" s="9">
        <v>46220</v>
      </c>
      <c r="H129" s="7" t="s">
        <v>89</v>
      </c>
      <c r="I129" s="212" t="s">
        <v>66</v>
      </c>
      <c r="J129" s="213" t="s">
        <v>105</v>
      </c>
      <c r="K129" s="12">
        <v>6950</v>
      </c>
      <c r="L129" s="214">
        <v>0</v>
      </c>
      <c r="M129" s="324">
        <v>0</v>
      </c>
      <c r="N129" s="215">
        <f t="shared" si="5"/>
        <v>6950</v>
      </c>
      <c r="O129" s="216">
        <v>0</v>
      </c>
      <c r="P129"/>
      <c r="Q129"/>
    </row>
    <row r="130" spans="1:17" ht="15" hidden="1" customHeight="1">
      <c r="A130" s="210" t="s">
        <v>1044</v>
      </c>
      <c r="B130" s="211" t="s">
        <v>856</v>
      </c>
      <c r="C130" s="8" t="s">
        <v>769</v>
      </c>
      <c r="D130" s="7" t="s">
        <v>559</v>
      </c>
      <c r="E130" s="7" t="s">
        <v>1045</v>
      </c>
      <c r="F130" s="9">
        <v>46190</v>
      </c>
      <c r="G130" s="9">
        <v>46224</v>
      </c>
      <c r="H130" s="7" t="s">
        <v>89</v>
      </c>
      <c r="I130" s="212" t="s">
        <v>621</v>
      </c>
      <c r="J130" s="213" t="s">
        <v>105</v>
      </c>
      <c r="K130" s="12">
        <v>7000</v>
      </c>
      <c r="L130" s="214">
        <v>180</v>
      </c>
      <c r="M130" s="324">
        <v>0</v>
      </c>
      <c r="N130" s="215">
        <f t="shared" si="5"/>
        <v>7180</v>
      </c>
      <c r="O130" s="216">
        <v>0</v>
      </c>
      <c r="P130"/>
      <c r="Q130"/>
    </row>
    <row r="131" spans="1:17" ht="15" hidden="1" customHeight="1">
      <c r="A131" s="210" t="s">
        <v>1046</v>
      </c>
      <c r="B131" s="211" t="s">
        <v>1008</v>
      </c>
      <c r="C131" s="8" t="s">
        <v>769</v>
      </c>
      <c r="D131" s="7" t="s">
        <v>559</v>
      </c>
      <c r="E131" s="7" t="s">
        <v>1047</v>
      </c>
      <c r="F131" s="9">
        <v>46190</v>
      </c>
      <c r="G131" s="9">
        <v>46224</v>
      </c>
      <c r="H131" s="7" t="s">
        <v>89</v>
      </c>
      <c r="I131" s="212" t="s">
        <v>621</v>
      </c>
      <c r="J131" s="213" t="s">
        <v>105</v>
      </c>
      <c r="K131" s="12">
        <v>7000</v>
      </c>
      <c r="L131" s="214">
        <v>0</v>
      </c>
      <c r="M131" s="324">
        <v>0</v>
      </c>
      <c r="N131" s="215">
        <f t="shared" si="5"/>
        <v>7000</v>
      </c>
      <c r="O131" s="216">
        <v>0</v>
      </c>
      <c r="P131"/>
      <c r="Q131"/>
    </row>
    <row r="132" spans="1:17" ht="15" hidden="1" customHeight="1">
      <c r="A132" s="210" t="s">
        <v>1048</v>
      </c>
      <c r="B132" s="211" t="s">
        <v>772</v>
      </c>
      <c r="C132" s="8" t="s">
        <v>769</v>
      </c>
      <c r="D132" s="7" t="s">
        <v>559</v>
      </c>
      <c r="E132" s="7" t="s">
        <v>1049</v>
      </c>
      <c r="F132" s="9">
        <v>46207</v>
      </c>
      <c r="G132" s="9">
        <v>46229</v>
      </c>
      <c r="H132" s="7" t="s">
        <v>507</v>
      </c>
      <c r="I132" s="212" t="s">
        <v>66</v>
      </c>
      <c r="J132" s="213" t="s">
        <v>105</v>
      </c>
      <c r="K132" s="12">
        <v>6300</v>
      </c>
      <c r="L132" s="214">
        <v>0</v>
      </c>
      <c r="M132" s="324">
        <v>0</v>
      </c>
      <c r="N132" s="215">
        <f t="shared" ref="N132:N139" si="6">SUM(K132+L132)</f>
        <v>6300</v>
      </c>
      <c r="O132" s="216">
        <v>0</v>
      </c>
      <c r="P132"/>
      <c r="Q132"/>
    </row>
    <row r="133" spans="1:17" ht="15" hidden="1" customHeight="1">
      <c r="A133" s="210" t="s">
        <v>1050</v>
      </c>
      <c r="B133" s="211" t="s">
        <v>782</v>
      </c>
      <c r="C133" s="8" t="s">
        <v>769</v>
      </c>
      <c r="D133" s="7" t="s">
        <v>559</v>
      </c>
      <c r="E133" s="7" t="s">
        <v>1051</v>
      </c>
      <c r="F133" s="9">
        <v>46203</v>
      </c>
      <c r="G133" s="9">
        <v>46238</v>
      </c>
      <c r="H133" s="7" t="s">
        <v>482</v>
      </c>
      <c r="I133" s="212" t="s">
        <v>66</v>
      </c>
      <c r="J133" s="213" t="s">
        <v>105</v>
      </c>
      <c r="K133" s="12">
        <v>6950</v>
      </c>
      <c r="L133" s="214">
        <v>180</v>
      </c>
      <c r="M133" s="324">
        <v>0</v>
      </c>
      <c r="N133" s="215">
        <f t="shared" si="6"/>
        <v>7130</v>
      </c>
      <c r="O133" s="216">
        <v>0</v>
      </c>
      <c r="P133"/>
      <c r="Q133"/>
    </row>
    <row r="134" spans="1:17" ht="15" hidden="1" customHeight="1">
      <c r="A134" s="210" t="s">
        <v>1052</v>
      </c>
      <c r="B134" s="211" t="s">
        <v>804</v>
      </c>
      <c r="C134" s="8" t="s">
        <v>769</v>
      </c>
      <c r="D134" s="7" t="s">
        <v>559</v>
      </c>
      <c r="E134" s="7" t="s">
        <v>1053</v>
      </c>
      <c r="F134" s="9">
        <v>46197</v>
      </c>
      <c r="G134" s="9">
        <v>46231</v>
      </c>
      <c r="H134" s="7" t="s">
        <v>89</v>
      </c>
      <c r="I134" s="212" t="s">
        <v>621</v>
      </c>
      <c r="J134" s="213" t="s">
        <v>105</v>
      </c>
      <c r="K134" s="12">
        <v>6950</v>
      </c>
      <c r="L134" s="214">
        <v>0</v>
      </c>
      <c r="M134" s="324">
        <v>0</v>
      </c>
      <c r="N134" s="215">
        <f t="shared" si="6"/>
        <v>6950</v>
      </c>
      <c r="O134" s="216">
        <v>0</v>
      </c>
      <c r="P134"/>
      <c r="Q134"/>
    </row>
    <row r="135" spans="1:17" ht="15" hidden="1" customHeight="1">
      <c r="A135" s="210" t="s">
        <v>1054</v>
      </c>
      <c r="B135" s="211" t="s">
        <v>851</v>
      </c>
      <c r="C135" s="8" t="s">
        <v>769</v>
      </c>
      <c r="D135" s="7" t="s">
        <v>559</v>
      </c>
      <c r="E135" s="7" t="s">
        <v>1055</v>
      </c>
      <c r="F135" s="9">
        <v>46197</v>
      </c>
      <c r="G135" s="9">
        <v>46231</v>
      </c>
      <c r="H135" s="7" t="s">
        <v>89</v>
      </c>
      <c r="I135" s="212" t="s">
        <v>621</v>
      </c>
      <c r="J135" s="213" t="s">
        <v>105</v>
      </c>
      <c r="K135" s="12">
        <v>6950</v>
      </c>
      <c r="L135" s="214">
        <v>0</v>
      </c>
      <c r="M135" s="324">
        <v>0</v>
      </c>
      <c r="N135" s="215">
        <f t="shared" si="6"/>
        <v>6950</v>
      </c>
      <c r="O135" s="216">
        <v>0</v>
      </c>
      <c r="P135"/>
      <c r="Q135"/>
    </row>
    <row r="136" spans="1:17" ht="15" hidden="1" customHeight="1">
      <c r="A136" s="210" t="s">
        <v>1056</v>
      </c>
      <c r="B136" s="211" t="s">
        <v>851</v>
      </c>
      <c r="C136" s="8" t="s">
        <v>769</v>
      </c>
      <c r="D136" s="7" t="s">
        <v>559</v>
      </c>
      <c r="E136" s="7" t="s">
        <v>1057</v>
      </c>
      <c r="F136" s="9">
        <v>46197</v>
      </c>
      <c r="G136" s="9">
        <v>46231</v>
      </c>
      <c r="H136" s="7" t="s">
        <v>89</v>
      </c>
      <c r="I136" s="212" t="s">
        <v>621</v>
      </c>
      <c r="J136" s="213" t="s">
        <v>105</v>
      </c>
      <c r="K136" s="12">
        <v>6950</v>
      </c>
      <c r="L136" s="214">
        <v>0</v>
      </c>
      <c r="M136" s="324">
        <v>0</v>
      </c>
      <c r="N136" s="215">
        <f t="shared" si="6"/>
        <v>6950</v>
      </c>
      <c r="O136" s="216">
        <v>0</v>
      </c>
      <c r="P136"/>
      <c r="Q136"/>
    </row>
    <row r="137" spans="1:17" ht="15" customHeight="1">
      <c r="A137" s="210" t="s">
        <v>1058</v>
      </c>
      <c r="B137" s="211" t="s">
        <v>1059</v>
      </c>
      <c r="C137" s="8" t="s">
        <v>769</v>
      </c>
      <c r="D137" s="7" t="s">
        <v>559</v>
      </c>
      <c r="E137" s="7" t="s">
        <v>1060</v>
      </c>
      <c r="F137" s="9">
        <v>46201</v>
      </c>
      <c r="G137" s="9">
        <v>46224</v>
      </c>
      <c r="H137" s="7" t="s">
        <v>89</v>
      </c>
      <c r="I137" s="212" t="s">
        <v>316</v>
      </c>
      <c r="J137" s="213" t="s">
        <v>105</v>
      </c>
      <c r="K137" s="12">
        <v>6550</v>
      </c>
      <c r="L137" s="214">
        <v>180</v>
      </c>
      <c r="M137" s="324">
        <v>0</v>
      </c>
      <c r="N137" s="215">
        <f t="shared" si="6"/>
        <v>6730</v>
      </c>
      <c r="O137" s="216">
        <v>0</v>
      </c>
      <c r="P137"/>
      <c r="Q137"/>
    </row>
    <row r="138" spans="1:17" ht="15" hidden="1" customHeight="1">
      <c r="A138" s="210" t="s">
        <v>1061</v>
      </c>
      <c r="B138" s="211" t="s">
        <v>768</v>
      </c>
      <c r="C138" s="8" t="s">
        <v>769</v>
      </c>
      <c r="D138" s="7" t="s">
        <v>559</v>
      </c>
      <c r="E138" s="7" t="s">
        <v>1062</v>
      </c>
      <c r="F138" s="9">
        <v>46203</v>
      </c>
      <c r="G138" s="9">
        <v>46234</v>
      </c>
      <c r="H138" s="7" t="s">
        <v>89</v>
      </c>
      <c r="I138" s="212" t="s">
        <v>66</v>
      </c>
      <c r="J138" s="213" t="s">
        <v>105</v>
      </c>
      <c r="K138" s="12">
        <v>6800</v>
      </c>
      <c r="L138" s="214">
        <v>180</v>
      </c>
      <c r="M138" s="324">
        <v>0</v>
      </c>
      <c r="N138" s="215">
        <f t="shared" si="6"/>
        <v>6980</v>
      </c>
      <c r="O138" s="216">
        <v>0</v>
      </c>
      <c r="P138"/>
      <c r="Q138"/>
    </row>
    <row r="139" spans="1:17" ht="15" hidden="1" customHeight="1">
      <c r="A139" s="210" t="s">
        <v>1063</v>
      </c>
      <c r="B139" s="211" t="s">
        <v>768</v>
      </c>
      <c r="C139" s="8" t="s">
        <v>769</v>
      </c>
      <c r="D139" s="7" t="s">
        <v>559</v>
      </c>
      <c r="E139" s="7" t="s">
        <v>1064</v>
      </c>
      <c r="F139" s="9">
        <v>46203</v>
      </c>
      <c r="G139" s="9">
        <v>46234</v>
      </c>
      <c r="H139" s="7" t="s">
        <v>89</v>
      </c>
      <c r="I139" s="212" t="s">
        <v>66</v>
      </c>
      <c r="J139" s="213" t="s">
        <v>105</v>
      </c>
      <c r="K139" s="12">
        <v>6800</v>
      </c>
      <c r="L139" s="214">
        <v>0</v>
      </c>
      <c r="M139" s="324">
        <v>0</v>
      </c>
      <c r="N139" s="215">
        <f t="shared" si="6"/>
        <v>6800</v>
      </c>
      <c r="O139" s="216">
        <v>0</v>
      </c>
      <c r="P139"/>
      <c r="Q139"/>
    </row>
    <row r="140" spans="1:17" ht="15" hidden="1" customHeight="1">
      <c r="A140" s="210" t="s">
        <v>1065</v>
      </c>
      <c r="B140" s="211" t="s">
        <v>1066</v>
      </c>
      <c r="C140" s="8" t="s">
        <v>769</v>
      </c>
      <c r="D140" s="7" t="s">
        <v>559</v>
      </c>
      <c r="E140" s="7" t="s">
        <v>1067</v>
      </c>
      <c r="F140" s="9">
        <v>46205</v>
      </c>
      <c r="G140" s="9">
        <v>46242</v>
      </c>
      <c r="H140" s="7" t="s">
        <v>89</v>
      </c>
      <c r="I140" s="212" t="s">
        <v>645</v>
      </c>
      <c r="J140" s="213" t="s">
        <v>105</v>
      </c>
      <c r="K140" s="12">
        <v>6300</v>
      </c>
      <c r="L140" s="214">
        <v>0</v>
      </c>
      <c r="M140" s="324">
        <v>0</v>
      </c>
      <c r="N140" s="215">
        <f t="shared" ref="N140" si="7">SUM(K140+L140)</f>
        <v>6300</v>
      </c>
      <c r="O140" s="216">
        <v>0</v>
      </c>
      <c r="P140"/>
      <c r="Q140"/>
    </row>
    <row r="141" spans="1:17" ht="15" hidden="1" customHeight="1">
      <c r="A141" s="210" t="s">
        <v>1068</v>
      </c>
      <c r="B141" s="211" t="s">
        <v>804</v>
      </c>
      <c r="C141" s="8" t="s">
        <v>769</v>
      </c>
      <c r="D141" s="7" t="s">
        <v>559</v>
      </c>
      <c r="E141" s="7" t="s">
        <v>1069</v>
      </c>
      <c r="F141" s="9">
        <v>46218</v>
      </c>
      <c r="G141" s="9">
        <v>46252</v>
      </c>
      <c r="H141" s="7" t="s">
        <v>89</v>
      </c>
      <c r="I141" s="212" t="s">
        <v>621</v>
      </c>
      <c r="J141" s="213" t="s">
        <v>105</v>
      </c>
      <c r="K141" s="12">
        <v>5900</v>
      </c>
      <c r="L141" s="214">
        <v>100</v>
      </c>
      <c r="M141" s="324">
        <v>0</v>
      </c>
      <c r="N141" s="215">
        <f t="shared" ref="N141:N147" si="8">SUM(K141+L141)</f>
        <v>6000</v>
      </c>
      <c r="O141" s="216">
        <v>0</v>
      </c>
      <c r="P141"/>
      <c r="Q141"/>
    </row>
    <row r="142" spans="1:17" ht="15" hidden="1" customHeight="1">
      <c r="A142" s="210" t="s">
        <v>1070</v>
      </c>
      <c r="B142" s="211" t="s">
        <v>804</v>
      </c>
      <c r="C142" s="8" t="s">
        <v>769</v>
      </c>
      <c r="D142" s="7" t="s">
        <v>559</v>
      </c>
      <c r="E142" s="7" t="s">
        <v>1071</v>
      </c>
      <c r="F142" s="9">
        <v>46208</v>
      </c>
      <c r="G142" s="9">
        <v>46240</v>
      </c>
      <c r="H142" s="7" t="s">
        <v>482</v>
      </c>
      <c r="I142" s="212" t="s">
        <v>85</v>
      </c>
      <c r="J142" s="213" t="s">
        <v>105</v>
      </c>
      <c r="K142" s="12">
        <v>5850</v>
      </c>
      <c r="L142" s="214">
        <v>100</v>
      </c>
      <c r="M142" s="324">
        <v>0</v>
      </c>
      <c r="N142" s="215">
        <f t="shared" si="8"/>
        <v>5950</v>
      </c>
      <c r="O142" s="216">
        <v>0</v>
      </c>
      <c r="P142"/>
      <c r="Q142"/>
    </row>
    <row r="143" spans="1:17" ht="15" hidden="1" customHeight="1">
      <c r="A143" s="210" t="s">
        <v>1072</v>
      </c>
      <c r="B143" s="211" t="s">
        <v>804</v>
      </c>
      <c r="C143" s="8" t="s">
        <v>769</v>
      </c>
      <c r="D143" s="7" t="s">
        <v>559</v>
      </c>
      <c r="E143" s="7" t="s">
        <v>1073</v>
      </c>
      <c r="F143" s="9">
        <v>46218</v>
      </c>
      <c r="G143" s="9">
        <v>46252</v>
      </c>
      <c r="H143" s="7" t="s">
        <v>89</v>
      </c>
      <c r="I143" s="212" t="s">
        <v>621</v>
      </c>
      <c r="J143" s="213" t="s">
        <v>105</v>
      </c>
      <c r="K143" s="12">
        <v>5900</v>
      </c>
      <c r="L143" s="214">
        <v>100</v>
      </c>
      <c r="M143" s="324">
        <v>0</v>
      </c>
      <c r="N143" s="215">
        <f t="shared" si="8"/>
        <v>6000</v>
      </c>
      <c r="O143" s="216">
        <v>0</v>
      </c>
      <c r="P143"/>
      <c r="Q143"/>
    </row>
    <row r="144" spans="1:17" ht="15" customHeight="1">
      <c r="A144" s="210" t="s">
        <v>1074</v>
      </c>
      <c r="B144" s="211" t="s">
        <v>1059</v>
      </c>
      <c r="C144" s="8" t="s">
        <v>769</v>
      </c>
      <c r="D144" s="7" t="s">
        <v>559</v>
      </c>
      <c r="E144" s="7" t="s">
        <v>1075</v>
      </c>
      <c r="F144" s="9">
        <v>46213</v>
      </c>
      <c r="G144" s="9">
        <v>46248</v>
      </c>
      <c r="H144" s="7" t="s">
        <v>89</v>
      </c>
      <c r="I144" s="212" t="s">
        <v>648</v>
      </c>
      <c r="J144" s="213" t="s">
        <v>105</v>
      </c>
      <c r="K144" s="12">
        <v>5800</v>
      </c>
      <c r="L144" s="214">
        <v>180</v>
      </c>
      <c r="M144" s="324">
        <v>0</v>
      </c>
      <c r="N144" s="215">
        <f t="shared" si="8"/>
        <v>5980</v>
      </c>
      <c r="O144" s="216">
        <v>0</v>
      </c>
      <c r="P144"/>
      <c r="Q144"/>
    </row>
    <row r="145" spans="1:17" ht="15" hidden="1" customHeight="1">
      <c r="A145" s="210" t="s">
        <v>1076</v>
      </c>
      <c r="B145" s="211" t="s">
        <v>1077</v>
      </c>
      <c r="C145" s="8" t="s">
        <v>769</v>
      </c>
      <c r="D145" s="7" t="s">
        <v>559</v>
      </c>
      <c r="E145" s="7" t="s">
        <v>1078</v>
      </c>
      <c r="F145" s="9">
        <v>46218</v>
      </c>
      <c r="G145" s="9">
        <v>46252</v>
      </c>
      <c r="H145" s="7" t="s">
        <v>89</v>
      </c>
      <c r="I145" s="212" t="s">
        <v>621</v>
      </c>
      <c r="J145" s="213" t="s">
        <v>105</v>
      </c>
      <c r="K145" s="12">
        <v>5900</v>
      </c>
      <c r="L145" s="214">
        <v>0</v>
      </c>
      <c r="M145" s="324">
        <v>0</v>
      </c>
      <c r="N145" s="215">
        <f t="shared" si="8"/>
        <v>5900</v>
      </c>
      <c r="O145" s="216">
        <v>0</v>
      </c>
      <c r="P145"/>
      <c r="Q145"/>
    </row>
    <row r="146" spans="1:17" ht="15" hidden="1" customHeight="1">
      <c r="A146" s="210" t="s">
        <v>1079</v>
      </c>
      <c r="B146" s="211" t="s">
        <v>804</v>
      </c>
      <c r="C146" s="8" t="s">
        <v>769</v>
      </c>
      <c r="D146" s="7" t="s">
        <v>559</v>
      </c>
      <c r="E146" s="7" t="s">
        <v>1080</v>
      </c>
      <c r="F146" s="9">
        <v>46218</v>
      </c>
      <c r="G146" s="9">
        <v>46249</v>
      </c>
      <c r="H146" s="7" t="s">
        <v>100</v>
      </c>
      <c r="I146" s="212" t="s">
        <v>85</v>
      </c>
      <c r="J146" s="213" t="s">
        <v>105</v>
      </c>
      <c r="K146" s="12">
        <v>5500</v>
      </c>
      <c r="L146" s="214">
        <v>100</v>
      </c>
      <c r="M146" s="324">
        <v>0</v>
      </c>
      <c r="N146" s="215">
        <f t="shared" si="8"/>
        <v>5600</v>
      </c>
      <c r="O146" s="216">
        <v>0</v>
      </c>
      <c r="P146"/>
      <c r="Q146"/>
    </row>
    <row r="147" spans="1:17" ht="15" customHeight="1">
      <c r="A147" s="210" t="s">
        <v>1081</v>
      </c>
      <c r="B147" s="211" t="s">
        <v>815</v>
      </c>
      <c r="C147" s="8" t="s">
        <v>769</v>
      </c>
      <c r="D147" s="7" t="s">
        <v>559</v>
      </c>
      <c r="E147" s="7" t="s">
        <v>1082</v>
      </c>
      <c r="F147" s="9">
        <v>46202</v>
      </c>
      <c r="G147" s="9">
        <v>46235</v>
      </c>
      <c r="H147" s="7" t="s">
        <v>1022</v>
      </c>
      <c r="I147" s="212" t="s">
        <v>85</v>
      </c>
      <c r="J147" s="213" t="s">
        <v>105</v>
      </c>
      <c r="K147" s="12">
        <v>907</v>
      </c>
      <c r="L147" s="214">
        <v>0</v>
      </c>
      <c r="M147" s="324">
        <v>0</v>
      </c>
      <c r="N147" s="215">
        <f t="shared" si="8"/>
        <v>907</v>
      </c>
      <c r="O147" s="216">
        <v>0</v>
      </c>
      <c r="P147"/>
      <c r="Q147"/>
    </row>
    <row r="148" spans="1:17" ht="15" hidden="1" customHeight="1">
      <c r="A148" s="210" t="s">
        <v>1083</v>
      </c>
      <c r="B148" s="211" t="s">
        <v>856</v>
      </c>
      <c r="C148" s="8" t="s">
        <v>769</v>
      </c>
      <c r="D148" s="7" t="s">
        <v>559</v>
      </c>
      <c r="E148" s="7" t="s">
        <v>1084</v>
      </c>
      <c r="F148" s="9">
        <v>46214</v>
      </c>
      <c r="G148" s="9">
        <v>46242</v>
      </c>
      <c r="H148" s="7" t="s">
        <v>100</v>
      </c>
      <c r="I148" s="212" t="s">
        <v>85</v>
      </c>
      <c r="J148" s="213" t="s">
        <v>105</v>
      </c>
      <c r="K148" s="12">
        <v>5900</v>
      </c>
      <c r="L148" s="214">
        <v>180</v>
      </c>
      <c r="M148" s="324">
        <v>264</v>
      </c>
      <c r="N148" s="215">
        <f>SUM(K148:M148)</f>
        <v>6344</v>
      </c>
      <c r="O148" s="216">
        <v>0</v>
      </c>
      <c r="P148"/>
      <c r="Q148"/>
    </row>
    <row r="149" spans="1:17" ht="15" hidden="1" customHeight="1">
      <c r="A149" s="210" t="s">
        <v>1085</v>
      </c>
      <c r="B149" s="211" t="s">
        <v>1077</v>
      </c>
      <c r="C149" s="8" t="s">
        <v>769</v>
      </c>
      <c r="D149" s="7" t="s">
        <v>559</v>
      </c>
      <c r="E149" s="7" t="s">
        <v>1086</v>
      </c>
      <c r="F149" s="9">
        <v>46213</v>
      </c>
      <c r="G149" s="9">
        <v>46260</v>
      </c>
      <c r="H149" s="7" t="s">
        <v>507</v>
      </c>
      <c r="I149" s="212" t="s">
        <v>1087</v>
      </c>
      <c r="J149" s="213" t="s">
        <v>105</v>
      </c>
      <c r="K149" s="12">
        <v>6850</v>
      </c>
      <c r="L149" s="214">
        <v>0</v>
      </c>
      <c r="M149" s="324">
        <v>0</v>
      </c>
      <c r="N149" s="215">
        <f t="shared" ref="N149:N162" si="9">SUM(K149+L149)</f>
        <v>6850</v>
      </c>
      <c r="O149" s="216">
        <v>0</v>
      </c>
      <c r="P149"/>
      <c r="Q149"/>
    </row>
    <row r="150" spans="1:17" ht="15" hidden="1" customHeight="1">
      <c r="A150" s="210" t="s">
        <v>1088</v>
      </c>
      <c r="B150" s="211" t="s">
        <v>768</v>
      </c>
      <c r="C150" s="8" t="s">
        <v>769</v>
      </c>
      <c r="D150" s="7" t="s">
        <v>559</v>
      </c>
      <c r="E150" s="7" t="s">
        <v>1089</v>
      </c>
      <c r="F150" s="9">
        <v>46226</v>
      </c>
      <c r="G150" s="9">
        <v>46250</v>
      </c>
      <c r="H150" s="7" t="s">
        <v>89</v>
      </c>
      <c r="I150" s="212" t="s">
        <v>66</v>
      </c>
      <c r="J150" s="213" t="s">
        <v>105</v>
      </c>
      <c r="K150" s="12">
        <v>5000</v>
      </c>
      <c r="L150" s="214">
        <v>0</v>
      </c>
      <c r="M150" s="324">
        <v>0</v>
      </c>
      <c r="N150" s="215">
        <f t="shared" si="9"/>
        <v>5000</v>
      </c>
      <c r="O150" s="216">
        <v>0</v>
      </c>
      <c r="P150"/>
      <c r="Q150"/>
    </row>
    <row r="151" spans="1:17" ht="15" hidden="1" customHeight="1">
      <c r="A151" s="210" t="s">
        <v>1090</v>
      </c>
      <c r="B151" s="211" t="s">
        <v>768</v>
      </c>
      <c r="C151" s="8" t="s">
        <v>769</v>
      </c>
      <c r="D151" s="7" t="s">
        <v>559</v>
      </c>
      <c r="E151" s="7" t="s">
        <v>1091</v>
      </c>
      <c r="F151" s="9">
        <v>46219</v>
      </c>
      <c r="G151" s="9">
        <v>46249</v>
      </c>
      <c r="H151" s="7" t="s">
        <v>89</v>
      </c>
      <c r="I151" s="212" t="s">
        <v>66</v>
      </c>
      <c r="J151" s="213" t="s">
        <v>105</v>
      </c>
      <c r="K151" s="12">
        <v>5600</v>
      </c>
      <c r="L151" s="214">
        <v>180</v>
      </c>
      <c r="M151" s="324">
        <v>0</v>
      </c>
      <c r="N151" s="215">
        <f t="shared" si="9"/>
        <v>5780</v>
      </c>
      <c r="O151" s="216">
        <v>0</v>
      </c>
      <c r="P151"/>
      <c r="Q151"/>
    </row>
    <row r="152" spans="1:17" ht="15" hidden="1" customHeight="1">
      <c r="A152" s="210" t="s">
        <v>1092</v>
      </c>
      <c r="B152" s="211" t="s">
        <v>768</v>
      </c>
      <c r="C152" s="8" t="s">
        <v>769</v>
      </c>
      <c r="D152" s="7" t="s">
        <v>559</v>
      </c>
      <c r="E152" s="7" t="s">
        <v>1093</v>
      </c>
      <c r="F152" s="9">
        <v>46226</v>
      </c>
      <c r="G152" s="9">
        <v>46250</v>
      </c>
      <c r="H152" s="7" t="s">
        <v>89</v>
      </c>
      <c r="I152" s="212" t="s">
        <v>66</v>
      </c>
      <c r="J152" s="213" t="s">
        <v>105</v>
      </c>
      <c r="K152" s="12">
        <v>5000</v>
      </c>
      <c r="L152" s="214">
        <v>180</v>
      </c>
      <c r="M152" s="324">
        <v>0</v>
      </c>
      <c r="N152" s="215">
        <f t="shared" si="9"/>
        <v>5180</v>
      </c>
      <c r="O152" s="216">
        <v>0</v>
      </c>
      <c r="P152"/>
      <c r="Q152"/>
    </row>
    <row r="153" spans="1:17" ht="15" customHeight="1">
      <c r="A153" s="210" t="s">
        <v>1094</v>
      </c>
      <c r="B153" s="211" t="s">
        <v>815</v>
      </c>
      <c r="C153" s="8" t="s">
        <v>769</v>
      </c>
      <c r="D153" s="7" t="s">
        <v>559</v>
      </c>
      <c r="E153" s="7" t="s">
        <v>1095</v>
      </c>
      <c r="F153" s="9">
        <v>46219</v>
      </c>
      <c r="G153" s="9">
        <v>46249</v>
      </c>
      <c r="H153" s="7" t="s">
        <v>89</v>
      </c>
      <c r="I153" s="212" t="s">
        <v>66</v>
      </c>
      <c r="J153" s="213" t="s">
        <v>105</v>
      </c>
      <c r="K153" s="12">
        <v>5600</v>
      </c>
      <c r="L153" s="214">
        <v>0</v>
      </c>
      <c r="M153" s="324">
        <v>0</v>
      </c>
      <c r="N153" s="215">
        <f t="shared" si="9"/>
        <v>5600</v>
      </c>
      <c r="O153" s="216">
        <v>0</v>
      </c>
      <c r="P153"/>
      <c r="Q153"/>
    </row>
    <row r="154" spans="1:17" ht="15" customHeight="1">
      <c r="A154" s="210" t="s">
        <v>1096</v>
      </c>
      <c r="B154" s="211" t="s">
        <v>815</v>
      </c>
      <c r="C154" s="8" t="s">
        <v>769</v>
      </c>
      <c r="D154" s="7" t="s">
        <v>559</v>
      </c>
      <c r="E154" s="7" t="s">
        <v>1097</v>
      </c>
      <c r="F154" s="9">
        <v>46219</v>
      </c>
      <c r="G154" s="9">
        <v>46249</v>
      </c>
      <c r="H154" s="7" t="s">
        <v>89</v>
      </c>
      <c r="I154" s="212" t="s">
        <v>66</v>
      </c>
      <c r="J154" s="213" t="s">
        <v>105</v>
      </c>
      <c r="K154" s="12">
        <v>5600</v>
      </c>
      <c r="L154" s="214">
        <v>0</v>
      </c>
      <c r="M154" s="324">
        <v>0</v>
      </c>
      <c r="N154" s="215">
        <f t="shared" si="9"/>
        <v>5600</v>
      </c>
      <c r="O154" s="216">
        <v>0</v>
      </c>
      <c r="P154"/>
      <c r="Q154"/>
    </row>
    <row r="155" spans="1:17" ht="15" hidden="1" customHeight="1">
      <c r="A155" s="210" t="s">
        <v>1098</v>
      </c>
      <c r="B155" s="211" t="s">
        <v>851</v>
      </c>
      <c r="C155" s="8" t="s">
        <v>769</v>
      </c>
      <c r="D155" s="7" t="s">
        <v>559</v>
      </c>
      <c r="E155" s="7" t="s">
        <v>1099</v>
      </c>
      <c r="F155" s="9">
        <v>46225</v>
      </c>
      <c r="G155" s="9">
        <v>46259</v>
      </c>
      <c r="H155" s="7" t="s">
        <v>89</v>
      </c>
      <c r="I155" s="212" t="s">
        <v>621</v>
      </c>
      <c r="J155" s="213" t="s">
        <v>105</v>
      </c>
      <c r="K155" s="12">
        <v>5200</v>
      </c>
      <c r="L155" s="214">
        <v>100</v>
      </c>
      <c r="M155" s="324">
        <v>0</v>
      </c>
      <c r="N155" s="215">
        <f t="shared" si="9"/>
        <v>5300</v>
      </c>
      <c r="O155" s="216">
        <v>0</v>
      </c>
      <c r="P155"/>
      <c r="Q155"/>
    </row>
    <row r="156" spans="1:17" ht="15" hidden="1" customHeight="1">
      <c r="A156" s="210" t="s">
        <v>1100</v>
      </c>
      <c r="B156" s="211" t="s">
        <v>851</v>
      </c>
      <c r="C156" s="8" t="s">
        <v>769</v>
      </c>
      <c r="D156" s="7" t="s">
        <v>559</v>
      </c>
      <c r="E156" s="7" t="s">
        <v>1101</v>
      </c>
      <c r="F156" s="9">
        <v>46225</v>
      </c>
      <c r="G156" s="9">
        <v>46259</v>
      </c>
      <c r="H156" s="7" t="s">
        <v>89</v>
      </c>
      <c r="I156" s="212" t="s">
        <v>621</v>
      </c>
      <c r="J156" s="213" t="s">
        <v>105</v>
      </c>
      <c r="K156" s="12">
        <v>5200</v>
      </c>
      <c r="L156" s="214">
        <v>100</v>
      </c>
      <c r="M156" s="324">
        <v>0</v>
      </c>
      <c r="N156" s="215">
        <f t="shared" si="9"/>
        <v>5300</v>
      </c>
      <c r="O156" s="216">
        <v>0</v>
      </c>
      <c r="P156"/>
      <c r="Q156"/>
    </row>
    <row r="157" spans="1:17" ht="15" hidden="1" customHeight="1">
      <c r="A157" s="210" t="s">
        <v>1102</v>
      </c>
      <c r="B157" s="211" t="s">
        <v>851</v>
      </c>
      <c r="C157" s="8" t="s">
        <v>769</v>
      </c>
      <c r="D157" s="7" t="s">
        <v>559</v>
      </c>
      <c r="E157" s="7" t="s">
        <v>1103</v>
      </c>
      <c r="F157" s="9">
        <v>46225</v>
      </c>
      <c r="G157" s="9">
        <v>46259</v>
      </c>
      <c r="H157" s="7" t="s">
        <v>89</v>
      </c>
      <c r="I157" s="212" t="s">
        <v>621</v>
      </c>
      <c r="J157" s="213" t="s">
        <v>105</v>
      </c>
      <c r="K157" s="12">
        <v>5200</v>
      </c>
      <c r="L157" s="214">
        <v>0</v>
      </c>
      <c r="M157" s="324">
        <v>0</v>
      </c>
      <c r="N157" s="215">
        <f t="shared" si="9"/>
        <v>5200</v>
      </c>
      <c r="O157" s="216">
        <v>0</v>
      </c>
      <c r="P157"/>
      <c r="Q157"/>
    </row>
    <row r="158" spans="1:17" ht="15" hidden="1" customHeight="1">
      <c r="A158" s="210" t="s">
        <v>1104</v>
      </c>
      <c r="B158" s="211" t="s">
        <v>1077</v>
      </c>
      <c r="C158" s="8" t="s">
        <v>769</v>
      </c>
      <c r="D158" s="7" t="s">
        <v>559</v>
      </c>
      <c r="E158" s="7" t="s">
        <v>1105</v>
      </c>
      <c r="F158" s="9">
        <v>46225</v>
      </c>
      <c r="G158" s="9">
        <v>46259</v>
      </c>
      <c r="H158" s="7" t="s">
        <v>89</v>
      </c>
      <c r="I158" s="212" t="s">
        <v>621</v>
      </c>
      <c r="J158" s="213" t="s">
        <v>105</v>
      </c>
      <c r="K158" s="12">
        <v>5200</v>
      </c>
      <c r="L158" s="214">
        <v>0</v>
      </c>
      <c r="M158" s="324">
        <v>0</v>
      </c>
      <c r="N158" s="215">
        <f t="shared" si="9"/>
        <v>5200</v>
      </c>
      <c r="O158" s="216">
        <v>0</v>
      </c>
      <c r="P158"/>
      <c r="Q158"/>
    </row>
    <row r="159" spans="1:17" ht="15" hidden="1" customHeight="1">
      <c r="A159" s="210" t="s">
        <v>1106</v>
      </c>
      <c r="B159" s="211" t="s">
        <v>1077</v>
      </c>
      <c r="C159" s="8" t="s">
        <v>769</v>
      </c>
      <c r="D159" s="7" t="s">
        <v>559</v>
      </c>
      <c r="E159" s="7" t="s">
        <v>1107</v>
      </c>
      <c r="F159" s="9">
        <v>46225</v>
      </c>
      <c r="G159" s="9">
        <v>46259</v>
      </c>
      <c r="H159" s="7" t="s">
        <v>89</v>
      </c>
      <c r="I159" s="212" t="s">
        <v>621</v>
      </c>
      <c r="J159" s="213" t="s">
        <v>105</v>
      </c>
      <c r="K159" s="12">
        <v>5200</v>
      </c>
      <c r="L159" s="214">
        <v>0</v>
      </c>
      <c r="M159" s="324">
        <v>0</v>
      </c>
      <c r="N159" s="215">
        <f t="shared" si="9"/>
        <v>5200</v>
      </c>
      <c r="O159" s="216">
        <v>0</v>
      </c>
      <c r="P159"/>
      <c r="Q159"/>
    </row>
    <row r="160" spans="1:17" ht="15" hidden="1" customHeight="1">
      <c r="A160" s="210" t="s">
        <v>1108</v>
      </c>
      <c r="B160" s="211" t="s">
        <v>1077</v>
      </c>
      <c r="C160" s="8" t="s">
        <v>769</v>
      </c>
      <c r="D160" s="7" t="s">
        <v>559</v>
      </c>
      <c r="E160" s="7" t="s">
        <v>1109</v>
      </c>
      <c r="F160" s="9">
        <v>46225</v>
      </c>
      <c r="G160" s="9">
        <v>46259</v>
      </c>
      <c r="H160" s="7" t="s">
        <v>89</v>
      </c>
      <c r="I160" s="212" t="s">
        <v>621</v>
      </c>
      <c r="J160" s="213" t="s">
        <v>105</v>
      </c>
      <c r="K160" s="12">
        <v>5200</v>
      </c>
      <c r="L160" s="214">
        <v>0</v>
      </c>
      <c r="M160" s="324">
        <v>0</v>
      </c>
      <c r="N160" s="215">
        <f t="shared" si="9"/>
        <v>5200</v>
      </c>
      <c r="O160" s="216">
        <v>0</v>
      </c>
      <c r="P160"/>
      <c r="Q160"/>
    </row>
    <row r="161" spans="1:17" ht="15" hidden="1" customHeight="1">
      <c r="A161" s="210" t="s">
        <v>1110</v>
      </c>
      <c r="B161" s="211" t="s">
        <v>851</v>
      </c>
      <c r="C161" s="8" t="s">
        <v>769</v>
      </c>
      <c r="D161" s="7" t="s">
        <v>559</v>
      </c>
      <c r="E161" s="7" t="s">
        <v>1111</v>
      </c>
      <c r="F161" s="9">
        <v>46225</v>
      </c>
      <c r="G161" s="9">
        <v>46259</v>
      </c>
      <c r="H161" s="7" t="s">
        <v>89</v>
      </c>
      <c r="I161" s="212" t="s">
        <v>621</v>
      </c>
      <c r="J161" s="213" t="s">
        <v>105</v>
      </c>
      <c r="K161" s="12">
        <v>5200</v>
      </c>
      <c r="L161" s="214">
        <v>100</v>
      </c>
      <c r="M161" s="324">
        <v>0</v>
      </c>
      <c r="N161" s="215">
        <f t="shared" si="9"/>
        <v>5300</v>
      </c>
      <c r="O161" s="216">
        <v>0</v>
      </c>
      <c r="P161"/>
      <c r="Q161"/>
    </row>
    <row r="162" spans="1:17" ht="15" hidden="1" customHeight="1">
      <c r="A162" s="210" t="s">
        <v>1112</v>
      </c>
      <c r="B162" s="211" t="s">
        <v>804</v>
      </c>
      <c r="C162" s="8" t="s">
        <v>769</v>
      </c>
      <c r="D162" s="7" t="s">
        <v>559</v>
      </c>
      <c r="E162" s="7" t="s">
        <v>1113</v>
      </c>
      <c r="F162" s="9">
        <v>46225</v>
      </c>
      <c r="G162" s="9">
        <v>46259</v>
      </c>
      <c r="H162" s="7" t="s">
        <v>89</v>
      </c>
      <c r="I162" s="212" t="s">
        <v>621</v>
      </c>
      <c r="J162" s="213" t="s">
        <v>105</v>
      </c>
      <c r="K162" s="12">
        <v>5200</v>
      </c>
      <c r="L162" s="214">
        <v>100</v>
      </c>
      <c r="M162" s="324">
        <v>0</v>
      </c>
      <c r="N162" s="215">
        <f t="shared" si="9"/>
        <v>5300</v>
      </c>
      <c r="O162" s="216">
        <v>0</v>
      </c>
      <c r="P162"/>
      <c r="Q162"/>
    </row>
    <row r="163" spans="1:17" ht="15" hidden="1" customHeight="1">
      <c r="A163" s="210" t="s">
        <v>1114</v>
      </c>
      <c r="B163" s="211" t="s">
        <v>804</v>
      </c>
      <c r="C163" s="8" t="s">
        <v>769</v>
      </c>
      <c r="D163" s="7" t="s">
        <v>559</v>
      </c>
      <c r="E163" s="7" t="s">
        <v>1115</v>
      </c>
      <c r="F163" s="9">
        <v>46232</v>
      </c>
      <c r="G163" s="9">
        <v>46266</v>
      </c>
      <c r="H163" s="7" t="s">
        <v>89</v>
      </c>
      <c r="I163" s="212" t="s">
        <v>621</v>
      </c>
      <c r="J163" s="213" t="s">
        <v>105</v>
      </c>
      <c r="K163" s="12">
        <v>5000</v>
      </c>
      <c r="L163" s="214">
        <v>100</v>
      </c>
      <c r="M163" s="324">
        <v>0</v>
      </c>
      <c r="N163" s="215">
        <f t="shared" ref="N163:N173" si="10">SUM(K163+L163)</f>
        <v>5100</v>
      </c>
      <c r="O163" s="216">
        <v>0</v>
      </c>
      <c r="P163"/>
      <c r="Q163"/>
    </row>
    <row r="164" spans="1:17" ht="15" hidden="1" customHeight="1">
      <c r="A164" s="210" t="s">
        <v>1116</v>
      </c>
      <c r="B164" s="211" t="s">
        <v>1117</v>
      </c>
      <c r="C164" s="8" t="s">
        <v>769</v>
      </c>
      <c r="D164" s="7" t="s">
        <v>559</v>
      </c>
      <c r="E164" s="7" t="s">
        <v>1118</v>
      </c>
      <c r="F164" s="9">
        <v>46227</v>
      </c>
      <c r="G164" s="9">
        <v>46271</v>
      </c>
      <c r="H164" s="7" t="s">
        <v>89</v>
      </c>
      <c r="I164" s="212" t="s">
        <v>648</v>
      </c>
      <c r="J164" s="213" t="s">
        <v>105</v>
      </c>
      <c r="K164" s="12">
        <v>5000</v>
      </c>
      <c r="L164" s="214">
        <v>100</v>
      </c>
      <c r="M164" s="324">
        <v>0</v>
      </c>
      <c r="N164" s="215">
        <f t="shared" si="10"/>
        <v>5100</v>
      </c>
      <c r="O164" s="216">
        <v>0</v>
      </c>
      <c r="P164"/>
      <c r="Q164" s="25"/>
    </row>
    <row r="165" spans="1:17" ht="15" hidden="1" customHeight="1">
      <c r="A165" s="210" t="s">
        <v>1119</v>
      </c>
      <c r="B165" s="211" t="s">
        <v>851</v>
      </c>
      <c r="C165" s="8" t="s">
        <v>769</v>
      </c>
      <c r="D165" s="7" t="s">
        <v>559</v>
      </c>
      <c r="E165" s="7" t="s">
        <v>1120</v>
      </c>
      <c r="F165" s="9">
        <v>46232</v>
      </c>
      <c r="G165" s="9">
        <v>46269</v>
      </c>
      <c r="H165" s="7" t="s">
        <v>89</v>
      </c>
      <c r="I165" s="212" t="s">
        <v>621</v>
      </c>
      <c r="J165" s="213" t="s">
        <v>105</v>
      </c>
      <c r="K165" s="12">
        <v>5000</v>
      </c>
      <c r="L165" s="214">
        <v>100</v>
      </c>
      <c r="M165" s="324">
        <v>0</v>
      </c>
      <c r="N165" s="215">
        <f t="shared" si="10"/>
        <v>5100</v>
      </c>
      <c r="O165" s="216">
        <v>0</v>
      </c>
      <c r="P165"/>
      <c r="Q165"/>
    </row>
    <row r="166" spans="1:17" ht="15" hidden="1" customHeight="1">
      <c r="A166" s="210" t="s">
        <v>1121</v>
      </c>
      <c r="B166" s="211" t="s">
        <v>851</v>
      </c>
      <c r="C166" s="8" t="s">
        <v>769</v>
      </c>
      <c r="D166" s="7" t="s">
        <v>559</v>
      </c>
      <c r="E166" s="7" t="s">
        <v>1122</v>
      </c>
      <c r="F166" s="9">
        <v>46232</v>
      </c>
      <c r="G166" s="9">
        <v>46269</v>
      </c>
      <c r="H166" s="7" t="s">
        <v>89</v>
      </c>
      <c r="I166" s="212" t="s">
        <v>621</v>
      </c>
      <c r="J166" s="213" t="s">
        <v>105</v>
      </c>
      <c r="K166" s="12">
        <v>5000</v>
      </c>
      <c r="L166" s="214">
        <v>100</v>
      </c>
      <c r="M166" s="324">
        <v>0</v>
      </c>
      <c r="N166" s="215">
        <f t="shared" si="10"/>
        <v>5100</v>
      </c>
      <c r="O166" s="216">
        <v>0</v>
      </c>
      <c r="P166"/>
      <c r="Q166"/>
    </row>
    <row r="167" spans="1:17" ht="15" hidden="1" customHeight="1">
      <c r="A167" s="210" t="s">
        <v>1123</v>
      </c>
      <c r="B167" s="211" t="s">
        <v>1077</v>
      </c>
      <c r="C167" s="8" t="s">
        <v>769</v>
      </c>
      <c r="D167" s="7" t="s">
        <v>559</v>
      </c>
      <c r="E167" s="7" t="s">
        <v>1124</v>
      </c>
      <c r="F167" s="9">
        <v>46232</v>
      </c>
      <c r="G167" s="9">
        <v>46269</v>
      </c>
      <c r="H167" s="7" t="s">
        <v>89</v>
      </c>
      <c r="I167" s="212" t="s">
        <v>621</v>
      </c>
      <c r="J167" s="213" t="s">
        <v>105</v>
      </c>
      <c r="K167" s="12">
        <v>5000</v>
      </c>
      <c r="L167" s="214">
        <v>0</v>
      </c>
      <c r="M167" s="324">
        <v>0</v>
      </c>
      <c r="N167" s="215">
        <f t="shared" si="10"/>
        <v>5000</v>
      </c>
      <c r="O167" s="216">
        <v>0</v>
      </c>
      <c r="P167"/>
      <c r="Q167"/>
    </row>
    <row r="168" spans="1:17" ht="15" hidden="1" customHeight="1">
      <c r="A168" s="210" t="s">
        <v>1125</v>
      </c>
      <c r="B168" s="211" t="s">
        <v>1077</v>
      </c>
      <c r="C168" s="8" t="s">
        <v>769</v>
      </c>
      <c r="D168" s="7" t="s">
        <v>559</v>
      </c>
      <c r="E168" s="7" t="s">
        <v>1126</v>
      </c>
      <c r="F168" s="9">
        <v>46221</v>
      </c>
      <c r="G168" s="9">
        <v>46249</v>
      </c>
      <c r="H168" s="7" t="s">
        <v>100</v>
      </c>
      <c r="I168" s="212" t="s">
        <v>316</v>
      </c>
      <c r="J168" s="213" t="s">
        <v>105</v>
      </c>
      <c r="K168" s="12">
        <v>5500</v>
      </c>
      <c r="L168" s="214">
        <v>0</v>
      </c>
      <c r="M168" s="324">
        <v>0</v>
      </c>
      <c r="N168" s="215">
        <f t="shared" si="10"/>
        <v>5500</v>
      </c>
      <c r="O168" s="216">
        <v>0</v>
      </c>
      <c r="P168"/>
      <c r="Q168"/>
    </row>
    <row r="169" spans="1:17" ht="15" hidden="1" customHeight="1">
      <c r="A169" s="210" t="s">
        <v>1127</v>
      </c>
      <c r="B169" s="211" t="s">
        <v>1077</v>
      </c>
      <c r="C169" s="8" t="s">
        <v>769</v>
      </c>
      <c r="D169" s="7" t="s">
        <v>559</v>
      </c>
      <c r="E169" s="7" t="s">
        <v>1128</v>
      </c>
      <c r="F169" s="9">
        <v>46232</v>
      </c>
      <c r="G169" s="9">
        <v>46266</v>
      </c>
      <c r="H169" s="7" t="s">
        <v>89</v>
      </c>
      <c r="I169" s="212" t="s">
        <v>621</v>
      </c>
      <c r="J169" s="213" t="s">
        <v>105</v>
      </c>
      <c r="K169" s="12">
        <v>5000</v>
      </c>
      <c r="L169" s="214">
        <v>0</v>
      </c>
      <c r="M169" s="324">
        <v>0</v>
      </c>
      <c r="N169" s="215">
        <f t="shared" si="10"/>
        <v>5000</v>
      </c>
      <c r="O169" s="216">
        <v>0</v>
      </c>
      <c r="P169"/>
      <c r="Q169"/>
    </row>
    <row r="170" spans="1:17" ht="15" hidden="1" customHeight="1">
      <c r="A170" s="210" t="s">
        <v>1129</v>
      </c>
      <c r="B170" s="211" t="s">
        <v>1077</v>
      </c>
      <c r="C170" s="8" t="s">
        <v>769</v>
      </c>
      <c r="D170" s="7" t="s">
        <v>559</v>
      </c>
      <c r="E170" s="7" t="s">
        <v>1130</v>
      </c>
      <c r="F170" s="9">
        <v>46239</v>
      </c>
      <c r="G170" s="9">
        <v>46273</v>
      </c>
      <c r="H170" s="7" t="s">
        <v>89</v>
      </c>
      <c r="I170" s="212" t="s">
        <v>621</v>
      </c>
      <c r="J170" s="213" t="s">
        <v>105</v>
      </c>
      <c r="K170" s="12">
        <v>5000</v>
      </c>
      <c r="L170" s="214">
        <v>0</v>
      </c>
      <c r="M170" s="324">
        <v>0</v>
      </c>
      <c r="N170" s="215">
        <f t="shared" si="10"/>
        <v>5000</v>
      </c>
      <c r="O170" s="216">
        <v>0</v>
      </c>
      <c r="P170"/>
      <c r="Q170"/>
    </row>
    <row r="171" spans="1:17" ht="15" hidden="1" customHeight="1">
      <c r="A171" s="210" t="s">
        <v>1131</v>
      </c>
      <c r="B171" s="211" t="s">
        <v>1077</v>
      </c>
      <c r="C171" s="8" t="s">
        <v>769</v>
      </c>
      <c r="D171" s="7" t="s">
        <v>559</v>
      </c>
      <c r="E171" s="7" t="s">
        <v>1132</v>
      </c>
      <c r="F171" s="9">
        <v>46232</v>
      </c>
      <c r="G171" s="9">
        <v>46266</v>
      </c>
      <c r="H171" s="7" t="s">
        <v>89</v>
      </c>
      <c r="I171" s="212" t="s">
        <v>621</v>
      </c>
      <c r="J171" s="213" t="s">
        <v>105</v>
      </c>
      <c r="K171" s="12">
        <v>5000</v>
      </c>
      <c r="L171" s="214">
        <v>0</v>
      </c>
      <c r="M171" s="324">
        <v>0</v>
      </c>
      <c r="N171" s="215">
        <f t="shared" si="10"/>
        <v>5000</v>
      </c>
      <c r="O171" s="216">
        <v>0</v>
      </c>
      <c r="P171"/>
      <c r="Q171"/>
    </row>
    <row r="172" spans="1:17" ht="15" hidden="1" customHeight="1">
      <c r="A172" s="210" t="s">
        <v>1133</v>
      </c>
      <c r="B172" s="211" t="s">
        <v>804</v>
      </c>
      <c r="C172" s="8" t="s">
        <v>769</v>
      </c>
      <c r="D172" s="7" t="s">
        <v>559</v>
      </c>
      <c r="E172" s="7" t="s">
        <v>1134</v>
      </c>
      <c r="F172" s="9">
        <v>46232</v>
      </c>
      <c r="G172" s="9">
        <v>46266</v>
      </c>
      <c r="H172" s="7" t="s">
        <v>89</v>
      </c>
      <c r="I172" s="212" t="s">
        <v>621</v>
      </c>
      <c r="J172" s="213" t="s">
        <v>105</v>
      </c>
      <c r="K172" s="12">
        <v>5000</v>
      </c>
      <c r="L172" s="214">
        <v>100</v>
      </c>
      <c r="M172" s="324">
        <v>0</v>
      </c>
      <c r="N172" s="215">
        <f t="shared" si="10"/>
        <v>5100</v>
      </c>
      <c r="O172" s="216">
        <v>0</v>
      </c>
      <c r="P172"/>
      <c r="Q172"/>
    </row>
    <row r="173" spans="1:17" ht="15" hidden="1" customHeight="1">
      <c r="A173" s="210" t="s">
        <v>1135</v>
      </c>
      <c r="B173" s="211" t="s">
        <v>851</v>
      </c>
      <c r="C173" s="8" t="s">
        <v>769</v>
      </c>
      <c r="D173" s="7" t="s">
        <v>559</v>
      </c>
      <c r="E173" s="7" t="s">
        <v>1136</v>
      </c>
      <c r="F173" s="9">
        <v>46232</v>
      </c>
      <c r="G173" s="9">
        <v>46269</v>
      </c>
      <c r="H173" s="7" t="s">
        <v>89</v>
      </c>
      <c r="I173" s="212" t="s">
        <v>621</v>
      </c>
      <c r="J173" s="213" t="s">
        <v>105</v>
      </c>
      <c r="K173" s="12">
        <v>5000</v>
      </c>
      <c r="L173" s="214">
        <v>100</v>
      </c>
      <c r="M173" s="324">
        <v>0</v>
      </c>
      <c r="N173" s="215">
        <f t="shared" si="10"/>
        <v>5100</v>
      </c>
      <c r="O173" s="216">
        <v>0</v>
      </c>
      <c r="P173"/>
      <c r="Q173"/>
    </row>
    <row r="174" spans="1:17" ht="15" hidden="1" customHeight="1">
      <c r="A174" s="210" t="s">
        <v>1137</v>
      </c>
      <c r="B174" s="211" t="s">
        <v>787</v>
      </c>
      <c r="C174" s="8" t="s">
        <v>769</v>
      </c>
      <c r="D174" s="7" t="s">
        <v>559</v>
      </c>
      <c r="E174" s="7" t="s">
        <v>1138</v>
      </c>
      <c r="F174" s="9">
        <v>46228</v>
      </c>
      <c r="G174" s="9">
        <v>46257</v>
      </c>
      <c r="H174" s="7" t="s">
        <v>100</v>
      </c>
      <c r="I174" s="212" t="s">
        <v>85</v>
      </c>
      <c r="J174" s="213" t="s">
        <v>105</v>
      </c>
      <c r="K174" s="12">
        <v>5050</v>
      </c>
      <c r="L174" s="214">
        <v>180</v>
      </c>
      <c r="M174" s="324">
        <v>0</v>
      </c>
      <c r="N174" s="215">
        <f t="shared" ref="N174:N188" si="11">SUM(K174+L174)</f>
        <v>5230</v>
      </c>
      <c r="O174" s="216">
        <v>0</v>
      </c>
      <c r="P174"/>
      <c r="Q174"/>
    </row>
    <row r="175" spans="1:17" ht="15" hidden="1" customHeight="1">
      <c r="A175" s="210" t="s">
        <v>1139</v>
      </c>
      <c r="B175" s="211" t="s">
        <v>1140</v>
      </c>
      <c r="C175" s="8" t="s">
        <v>769</v>
      </c>
      <c r="D175" s="7" t="s">
        <v>559</v>
      </c>
      <c r="E175" s="7" t="s">
        <v>1141</v>
      </c>
      <c r="F175" s="9">
        <v>46224</v>
      </c>
      <c r="G175" s="9">
        <v>46264</v>
      </c>
      <c r="H175" s="7" t="s">
        <v>100</v>
      </c>
      <c r="I175" s="212" t="s">
        <v>66</v>
      </c>
      <c r="J175" s="213" t="s">
        <v>105</v>
      </c>
      <c r="K175" s="12">
        <v>5500</v>
      </c>
      <c r="L175" s="214">
        <v>0</v>
      </c>
      <c r="M175" s="324">
        <v>0</v>
      </c>
      <c r="N175" s="215">
        <f t="shared" si="11"/>
        <v>5500</v>
      </c>
      <c r="O175" s="216">
        <v>0</v>
      </c>
    </row>
    <row r="176" spans="1:17" ht="15" hidden="1" customHeight="1">
      <c r="A176" s="210" t="s">
        <v>1142</v>
      </c>
      <c r="B176" s="211" t="s">
        <v>1143</v>
      </c>
      <c r="C176" s="8" t="s">
        <v>769</v>
      </c>
      <c r="D176" s="7" t="s">
        <v>559</v>
      </c>
      <c r="E176" s="7" t="s">
        <v>1144</v>
      </c>
      <c r="F176" s="9">
        <v>46229</v>
      </c>
      <c r="G176" s="9">
        <v>46258</v>
      </c>
      <c r="H176" s="7" t="s">
        <v>507</v>
      </c>
      <c r="I176" s="212" t="s">
        <v>240</v>
      </c>
      <c r="J176" s="213" t="s">
        <v>105</v>
      </c>
      <c r="K176" s="12">
        <v>5000</v>
      </c>
      <c r="L176" s="214">
        <v>100</v>
      </c>
      <c r="M176" s="324">
        <v>0</v>
      </c>
      <c r="N176" s="215">
        <f t="shared" si="11"/>
        <v>5100</v>
      </c>
      <c r="O176" s="216">
        <v>0</v>
      </c>
    </row>
    <row r="177" spans="1:15" ht="15" hidden="1" customHeight="1">
      <c r="A177" s="210" t="s">
        <v>1145</v>
      </c>
      <c r="B177" s="211" t="s">
        <v>1143</v>
      </c>
      <c r="C177" s="8" t="s">
        <v>769</v>
      </c>
      <c r="D177" s="7" t="s">
        <v>559</v>
      </c>
      <c r="E177" s="7" t="s">
        <v>1146</v>
      </c>
      <c r="F177" s="9">
        <v>46229</v>
      </c>
      <c r="G177" s="9">
        <v>46258</v>
      </c>
      <c r="H177" s="7" t="s">
        <v>507</v>
      </c>
      <c r="I177" s="212" t="s">
        <v>240</v>
      </c>
      <c r="J177" s="213" t="s">
        <v>105</v>
      </c>
      <c r="K177" s="12">
        <v>5000</v>
      </c>
      <c r="L177" s="214">
        <v>100</v>
      </c>
      <c r="M177" s="324">
        <v>0</v>
      </c>
      <c r="N177" s="215">
        <f t="shared" si="11"/>
        <v>5100</v>
      </c>
      <c r="O177" s="216">
        <v>0</v>
      </c>
    </row>
    <row r="178" spans="1:15" ht="15" hidden="1" customHeight="1">
      <c r="A178" s="210" t="s">
        <v>1147</v>
      </c>
      <c r="B178" s="211" t="s">
        <v>999</v>
      </c>
      <c r="C178" s="8" t="s">
        <v>769</v>
      </c>
      <c r="D178" s="7" t="s">
        <v>559</v>
      </c>
      <c r="E178" s="7" t="s">
        <v>1148</v>
      </c>
      <c r="F178" s="9">
        <v>46240</v>
      </c>
      <c r="G178" s="9">
        <v>46274</v>
      </c>
      <c r="H178" s="7" t="s">
        <v>84</v>
      </c>
      <c r="I178" s="212" t="s">
        <v>1149</v>
      </c>
      <c r="J178" s="213" t="s">
        <v>105</v>
      </c>
      <c r="K178" s="12">
        <v>6000</v>
      </c>
      <c r="L178" s="214">
        <v>280</v>
      </c>
      <c r="M178" s="324">
        <v>0</v>
      </c>
      <c r="N178" s="215">
        <f t="shared" si="11"/>
        <v>6280</v>
      </c>
      <c r="O178" s="216">
        <v>0</v>
      </c>
    </row>
    <row r="179" spans="1:15" ht="15" hidden="1" customHeight="1">
      <c r="A179" s="210" t="s">
        <v>1150</v>
      </c>
      <c r="B179" s="211" t="s">
        <v>999</v>
      </c>
      <c r="C179" s="8" t="s">
        <v>769</v>
      </c>
      <c r="D179" s="7" t="s">
        <v>559</v>
      </c>
      <c r="E179" s="7" t="s">
        <v>1151</v>
      </c>
      <c r="F179" s="9">
        <v>46240</v>
      </c>
      <c r="G179" s="9">
        <v>46274</v>
      </c>
      <c r="H179" s="7" t="s">
        <v>84</v>
      </c>
      <c r="I179" s="212" t="s">
        <v>1149</v>
      </c>
      <c r="J179" s="213" t="s">
        <v>105</v>
      </c>
      <c r="K179" s="12">
        <v>6000</v>
      </c>
      <c r="L179" s="214">
        <v>280</v>
      </c>
      <c r="M179" s="324">
        <v>0</v>
      </c>
      <c r="N179" s="215">
        <f t="shared" si="11"/>
        <v>6280</v>
      </c>
      <c r="O179" s="216">
        <v>0</v>
      </c>
    </row>
    <row r="180" spans="1:15" ht="15" hidden="1" customHeight="1">
      <c r="A180" s="367" t="s">
        <v>1152</v>
      </c>
      <c r="B180" s="211" t="s">
        <v>1153</v>
      </c>
      <c r="C180" s="8" t="s">
        <v>769</v>
      </c>
      <c r="D180" s="7" t="s">
        <v>559</v>
      </c>
      <c r="E180" s="7" t="s">
        <v>1154</v>
      </c>
      <c r="F180" s="9">
        <v>46224</v>
      </c>
      <c r="G180" s="9">
        <v>46264</v>
      </c>
      <c r="H180" s="7" t="s">
        <v>100</v>
      </c>
      <c r="I180" s="212" t="s">
        <v>66</v>
      </c>
      <c r="J180" s="213" t="s">
        <v>105</v>
      </c>
      <c r="K180" s="12">
        <v>5000</v>
      </c>
      <c r="L180" s="214">
        <v>0</v>
      </c>
      <c r="M180" s="324">
        <v>0</v>
      </c>
      <c r="N180" s="215">
        <f t="shared" si="11"/>
        <v>5000</v>
      </c>
      <c r="O180" s="216">
        <v>0</v>
      </c>
    </row>
    <row r="181" spans="1:15" ht="15" hidden="1" customHeight="1">
      <c r="A181" s="210" t="s">
        <v>1155</v>
      </c>
      <c r="B181" s="211" t="s">
        <v>851</v>
      </c>
      <c r="C181" s="8" t="s">
        <v>769</v>
      </c>
      <c r="D181" s="7" t="s">
        <v>559</v>
      </c>
      <c r="E181" s="7" t="s">
        <v>1156</v>
      </c>
      <c r="F181" s="9">
        <v>46221</v>
      </c>
      <c r="G181" s="9">
        <v>46257</v>
      </c>
      <c r="H181" s="7" t="s">
        <v>100</v>
      </c>
      <c r="I181" s="212" t="s">
        <v>85</v>
      </c>
      <c r="J181" s="213" t="s">
        <v>105</v>
      </c>
      <c r="K181" s="12">
        <v>5550</v>
      </c>
      <c r="L181" s="214">
        <v>100</v>
      </c>
      <c r="M181" s="324">
        <v>0</v>
      </c>
      <c r="N181" s="215">
        <f t="shared" si="11"/>
        <v>5650</v>
      </c>
      <c r="O181" s="216">
        <v>0</v>
      </c>
    </row>
    <row r="182" spans="1:15" ht="15" hidden="1" customHeight="1">
      <c r="A182" s="210" t="s">
        <v>1157</v>
      </c>
      <c r="B182" s="211" t="s">
        <v>851</v>
      </c>
      <c r="C182" s="8" t="s">
        <v>769</v>
      </c>
      <c r="D182" s="7" t="s">
        <v>559</v>
      </c>
      <c r="E182" s="7" t="s">
        <v>1158</v>
      </c>
      <c r="F182" s="9">
        <v>46239</v>
      </c>
      <c r="G182" s="9">
        <v>46266</v>
      </c>
      <c r="H182" s="7" t="s">
        <v>89</v>
      </c>
      <c r="I182" s="212" t="s">
        <v>621</v>
      </c>
      <c r="J182" s="213" t="s">
        <v>105</v>
      </c>
      <c r="K182" s="12">
        <v>5700</v>
      </c>
      <c r="L182" s="214">
        <v>100</v>
      </c>
      <c r="M182" s="324">
        <v>0</v>
      </c>
      <c r="N182" s="215">
        <f t="shared" si="11"/>
        <v>5800</v>
      </c>
      <c r="O182" s="216">
        <v>0</v>
      </c>
    </row>
    <row r="183" spans="1:15" ht="15" hidden="1" customHeight="1">
      <c r="A183" s="210" t="s">
        <v>1159</v>
      </c>
      <c r="B183" s="211" t="s">
        <v>1160</v>
      </c>
      <c r="C183" s="8" t="s">
        <v>769</v>
      </c>
      <c r="D183" s="7" t="s">
        <v>559</v>
      </c>
      <c r="E183" s="7" t="s">
        <v>1161</v>
      </c>
      <c r="F183" s="9">
        <v>46246</v>
      </c>
      <c r="G183" s="9">
        <v>46285</v>
      </c>
      <c r="H183" s="7" t="s">
        <v>89</v>
      </c>
      <c r="I183" s="212" t="s">
        <v>621</v>
      </c>
      <c r="J183" s="213" t="s">
        <v>105</v>
      </c>
      <c r="K183" s="12">
        <v>6500</v>
      </c>
      <c r="L183" s="214">
        <v>280</v>
      </c>
      <c r="M183" s="324">
        <v>0</v>
      </c>
      <c r="N183" s="215">
        <f t="shared" si="11"/>
        <v>6780</v>
      </c>
      <c r="O183" s="216">
        <v>0</v>
      </c>
    </row>
    <row r="184" spans="1:15" ht="15" hidden="1" customHeight="1">
      <c r="A184" s="210" t="s">
        <v>1162</v>
      </c>
      <c r="B184" s="211" t="s">
        <v>1077</v>
      </c>
      <c r="C184" s="8" t="s">
        <v>769</v>
      </c>
      <c r="D184" s="7" t="s">
        <v>559</v>
      </c>
      <c r="E184" s="7" t="s">
        <v>1163</v>
      </c>
      <c r="F184" s="9">
        <v>46246</v>
      </c>
      <c r="G184" s="9">
        <v>46296</v>
      </c>
      <c r="H184" s="7" t="s">
        <v>507</v>
      </c>
      <c r="I184" s="212" t="s">
        <v>1164</v>
      </c>
      <c r="J184" s="213" t="s">
        <v>105</v>
      </c>
      <c r="K184" s="12">
        <v>8000</v>
      </c>
      <c r="L184" s="214">
        <v>0</v>
      </c>
      <c r="M184" s="324">
        <v>0</v>
      </c>
      <c r="N184" s="215">
        <f t="shared" si="11"/>
        <v>8000</v>
      </c>
      <c r="O184" s="216">
        <v>0</v>
      </c>
    </row>
    <row r="185" spans="1:15" ht="15" hidden="1" customHeight="1">
      <c r="A185" s="210" t="s">
        <v>1165</v>
      </c>
      <c r="B185" s="211" t="s">
        <v>1077</v>
      </c>
      <c r="C185" s="8" t="s">
        <v>769</v>
      </c>
      <c r="D185" s="7" t="s">
        <v>559</v>
      </c>
      <c r="E185" s="7" t="s">
        <v>1166</v>
      </c>
      <c r="F185" s="9">
        <v>46239</v>
      </c>
      <c r="G185" s="9">
        <v>46266</v>
      </c>
      <c r="H185" s="7" t="s">
        <v>89</v>
      </c>
      <c r="I185" s="212" t="s">
        <v>621</v>
      </c>
      <c r="J185" s="213" t="s">
        <v>105</v>
      </c>
      <c r="K185" s="12">
        <v>5700</v>
      </c>
      <c r="L185" s="214">
        <v>0</v>
      </c>
      <c r="M185" s="324">
        <v>0</v>
      </c>
      <c r="N185" s="215">
        <f t="shared" si="11"/>
        <v>5700</v>
      </c>
      <c r="O185" s="216">
        <v>0</v>
      </c>
    </row>
    <row r="186" spans="1:15" ht="15" hidden="1" customHeight="1">
      <c r="A186" s="210" t="s">
        <v>1167</v>
      </c>
      <c r="B186" s="211" t="s">
        <v>1077</v>
      </c>
      <c r="C186" s="8" t="s">
        <v>769</v>
      </c>
      <c r="D186" s="7" t="s">
        <v>559</v>
      </c>
      <c r="E186" s="7" t="s">
        <v>1168</v>
      </c>
      <c r="F186" s="9">
        <v>46239</v>
      </c>
      <c r="G186" s="9">
        <v>46266</v>
      </c>
      <c r="H186" s="7" t="s">
        <v>89</v>
      </c>
      <c r="I186" s="212" t="s">
        <v>621</v>
      </c>
      <c r="J186" s="213" t="s">
        <v>105</v>
      </c>
      <c r="K186" s="12">
        <v>5700</v>
      </c>
      <c r="L186" s="214">
        <v>0</v>
      </c>
      <c r="M186" s="324">
        <v>0</v>
      </c>
      <c r="N186" s="215">
        <f t="shared" si="11"/>
        <v>5700</v>
      </c>
      <c r="O186" s="216">
        <v>0</v>
      </c>
    </row>
    <row r="187" spans="1:15" ht="15" hidden="1" customHeight="1">
      <c r="A187" s="210" t="s">
        <v>1169</v>
      </c>
      <c r="B187" s="211" t="s">
        <v>1077</v>
      </c>
      <c r="C187" s="8" t="s">
        <v>769</v>
      </c>
      <c r="D187" s="7" t="s">
        <v>559</v>
      </c>
      <c r="E187" s="7" t="s">
        <v>1170</v>
      </c>
      <c r="F187" s="9">
        <v>46277</v>
      </c>
      <c r="G187" s="9">
        <v>46285</v>
      </c>
      <c r="H187" s="7" t="s">
        <v>89</v>
      </c>
      <c r="I187" s="212" t="s">
        <v>621</v>
      </c>
      <c r="J187" s="213" t="s">
        <v>105</v>
      </c>
      <c r="K187" s="12">
        <v>6550</v>
      </c>
      <c r="L187" s="214">
        <v>0</v>
      </c>
      <c r="M187" s="324">
        <v>0</v>
      </c>
      <c r="N187" s="215">
        <f t="shared" si="11"/>
        <v>6550</v>
      </c>
      <c r="O187" s="216">
        <v>0</v>
      </c>
    </row>
    <row r="188" spans="1:15" ht="15" hidden="1" customHeight="1">
      <c r="A188" s="210" t="s">
        <v>1171</v>
      </c>
      <c r="B188" s="211" t="s">
        <v>1077</v>
      </c>
      <c r="C188" s="8" t="s">
        <v>769</v>
      </c>
      <c r="D188" s="7" t="s">
        <v>559</v>
      </c>
      <c r="E188" s="7" t="s">
        <v>1172</v>
      </c>
      <c r="F188" s="9">
        <v>46277</v>
      </c>
      <c r="G188" s="9">
        <v>46285</v>
      </c>
      <c r="H188" s="7" t="s">
        <v>89</v>
      </c>
      <c r="I188" s="212" t="s">
        <v>621</v>
      </c>
      <c r="J188" s="213" t="s">
        <v>105</v>
      </c>
      <c r="K188" s="12">
        <v>6550</v>
      </c>
      <c r="L188" s="214">
        <v>0</v>
      </c>
      <c r="M188" s="324">
        <v>0</v>
      </c>
      <c r="N188" s="215">
        <f t="shared" si="11"/>
        <v>6550</v>
      </c>
      <c r="O188" s="216">
        <v>0</v>
      </c>
    </row>
    <row r="189" spans="1:15" ht="15" hidden="1" customHeight="1">
      <c r="A189" s="210" t="s">
        <v>1173</v>
      </c>
      <c r="B189" s="211" t="s">
        <v>772</v>
      </c>
      <c r="C189" s="8" t="s">
        <v>769</v>
      </c>
      <c r="D189" s="7" t="s">
        <v>559</v>
      </c>
      <c r="E189" s="7" t="s">
        <v>1174</v>
      </c>
      <c r="F189" s="9">
        <v>46244</v>
      </c>
      <c r="G189" s="9">
        <v>46272</v>
      </c>
      <c r="H189" s="7" t="s">
        <v>1175</v>
      </c>
      <c r="I189" s="212" t="s">
        <v>66</v>
      </c>
      <c r="J189" s="213" t="s">
        <v>105</v>
      </c>
      <c r="K189" s="12">
        <v>6250</v>
      </c>
      <c r="L189" s="214">
        <v>0</v>
      </c>
      <c r="M189" s="324">
        <v>0</v>
      </c>
      <c r="N189" s="215">
        <f t="shared" ref="N189:N200" si="12">SUM(K189+L189)</f>
        <v>6250</v>
      </c>
      <c r="O189" s="216">
        <v>0</v>
      </c>
    </row>
    <row r="190" spans="1:15" ht="15" hidden="1" customHeight="1">
      <c r="A190" s="210" t="s">
        <v>1176</v>
      </c>
      <c r="B190" s="211" t="s">
        <v>1160</v>
      </c>
      <c r="C190" s="8" t="s">
        <v>769</v>
      </c>
      <c r="D190" s="7" t="s">
        <v>559</v>
      </c>
      <c r="E190" s="7" t="s">
        <v>1177</v>
      </c>
      <c r="F190" s="9">
        <v>46244</v>
      </c>
      <c r="G190" s="9">
        <v>46272</v>
      </c>
      <c r="H190" s="7" t="s">
        <v>1175</v>
      </c>
      <c r="I190" s="212" t="s">
        <v>66</v>
      </c>
      <c r="J190" s="213" t="s">
        <v>105</v>
      </c>
      <c r="K190" s="12">
        <v>6250</v>
      </c>
      <c r="L190" s="214">
        <v>280</v>
      </c>
      <c r="M190" s="324">
        <v>0</v>
      </c>
      <c r="N190" s="215">
        <f t="shared" si="12"/>
        <v>6530</v>
      </c>
      <c r="O190" s="216">
        <v>0</v>
      </c>
    </row>
    <row r="191" spans="1:15" ht="15" hidden="1" customHeight="1">
      <c r="A191" s="210" t="s">
        <v>1178</v>
      </c>
      <c r="B191" s="211" t="s">
        <v>768</v>
      </c>
      <c r="C191" s="8" t="s">
        <v>769</v>
      </c>
      <c r="D191" s="7" t="s">
        <v>559</v>
      </c>
      <c r="E191" s="7" t="s">
        <v>1179</v>
      </c>
      <c r="F191" s="9">
        <v>46244</v>
      </c>
      <c r="G191" s="9">
        <v>46272</v>
      </c>
      <c r="H191" s="7" t="s">
        <v>1175</v>
      </c>
      <c r="I191" s="212" t="s">
        <v>66</v>
      </c>
      <c r="J191" s="213" t="s">
        <v>105</v>
      </c>
      <c r="K191" s="12">
        <v>6250</v>
      </c>
      <c r="L191" s="214">
        <v>180</v>
      </c>
      <c r="M191" s="324">
        <v>0</v>
      </c>
      <c r="N191" s="215">
        <f t="shared" si="12"/>
        <v>6430</v>
      </c>
      <c r="O191" s="216">
        <v>0</v>
      </c>
    </row>
    <row r="192" spans="1:15" ht="15" hidden="1" customHeight="1">
      <c r="A192" s="210" t="s">
        <v>1180</v>
      </c>
      <c r="B192" s="211" t="s">
        <v>768</v>
      </c>
      <c r="C192" s="8" t="s">
        <v>769</v>
      </c>
      <c r="D192" s="7" t="s">
        <v>559</v>
      </c>
      <c r="E192" s="7" t="s">
        <v>1181</v>
      </c>
      <c r="F192" s="9">
        <v>46240</v>
      </c>
      <c r="G192" s="9">
        <v>46272</v>
      </c>
      <c r="H192" s="7" t="s">
        <v>89</v>
      </c>
      <c r="I192" s="212" t="s">
        <v>66</v>
      </c>
      <c r="J192" s="213" t="s">
        <v>105</v>
      </c>
      <c r="K192" s="12">
        <v>5700</v>
      </c>
      <c r="L192" s="214">
        <v>180</v>
      </c>
      <c r="M192" s="324">
        <v>0</v>
      </c>
      <c r="N192" s="215">
        <f t="shared" si="12"/>
        <v>5880</v>
      </c>
      <c r="O192" s="216">
        <v>0</v>
      </c>
    </row>
    <row r="193" spans="1:16" ht="15" customHeight="1">
      <c r="A193" s="210" t="s">
        <v>1182</v>
      </c>
      <c r="B193" s="211" t="s">
        <v>815</v>
      </c>
      <c r="C193" s="8" t="s">
        <v>769</v>
      </c>
      <c r="D193" s="7" t="s">
        <v>559</v>
      </c>
      <c r="E193" s="7" t="s">
        <v>1183</v>
      </c>
      <c r="F193" s="9">
        <v>46240</v>
      </c>
      <c r="G193" s="9">
        <v>46272</v>
      </c>
      <c r="H193" s="7" t="s">
        <v>89</v>
      </c>
      <c r="I193" s="212" t="s">
        <v>66</v>
      </c>
      <c r="J193" s="213" t="s">
        <v>105</v>
      </c>
      <c r="K193" s="12">
        <v>5700</v>
      </c>
      <c r="L193" s="214">
        <v>0</v>
      </c>
      <c r="M193" s="324">
        <v>0</v>
      </c>
      <c r="N193" s="215">
        <f t="shared" si="12"/>
        <v>5700</v>
      </c>
      <c r="O193" s="216">
        <v>0</v>
      </c>
    </row>
    <row r="194" spans="1:16" ht="15" hidden="1" customHeight="1">
      <c r="A194" s="210" t="s">
        <v>1184</v>
      </c>
      <c r="B194" s="211" t="s">
        <v>772</v>
      </c>
      <c r="C194" s="8" t="s">
        <v>769</v>
      </c>
      <c r="D194" s="7" t="s">
        <v>559</v>
      </c>
      <c r="E194" s="7" t="s">
        <v>1185</v>
      </c>
      <c r="F194" s="9">
        <v>46240</v>
      </c>
      <c r="G194" s="9">
        <v>46272</v>
      </c>
      <c r="H194" s="7" t="s">
        <v>89</v>
      </c>
      <c r="I194" s="212" t="s">
        <v>66</v>
      </c>
      <c r="J194" s="213" t="s">
        <v>105</v>
      </c>
      <c r="K194" s="12">
        <v>5700</v>
      </c>
      <c r="L194" s="214">
        <v>0</v>
      </c>
      <c r="M194" s="324">
        <v>0</v>
      </c>
      <c r="N194" s="215">
        <f t="shared" si="12"/>
        <v>5700</v>
      </c>
      <c r="O194" s="216">
        <v>0</v>
      </c>
    </row>
    <row r="195" spans="1:16" ht="15" hidden="1" customHeight="1">
      <c r="A195" s="210" t="s">
        <v>1186</v>
      </c>
      <c r="B195" s="211" t="s">
        <v>1153</v>
      </c>
      <c r="C195" s="8" t="s">
        <v>769</v>
      </c>
      <c r="D195" s="7" t="s">
        <v>559</v>
      </c>
      <c r="E195" s="7" t="s">
        <v>1187</v>
      </c>
      <c r="F195" s="9">
        <v>46240</v>
      </c>
      <c r="G195" s="9">
        <v>46272</v>
      </c>
      <c r="H195" s="7" t="s">
        <v>89</v>
      </c>
      <c r="I195" s="212" t="s">
        <v>66</v>
      </c>
      <c r="J195" s="213" t="s">
        <v>105</v>
      </c>
      <c r="K195" s="12">
        <v>5700</v>
      </c>
      <c r="L195" s="214">
        <v>0</v>
      </c>
      <c r="M195" s="324">
        <v>0</v>
      </c>
      <c r="N195" s="215">
        <f t="shared" si="12"/>
        <v>5700</v>
      </c>
      <c r="O195" s="216">
        <v>0</v>
      </c>
    </row>
    <row r="196" spans="1:16" ht="15" customHeight="1">
      <c r="A196" s="210" t="s">
        <v>1188</v>
      </c>
      <c r="B196" s="211" t="s">
        <v>815</v>
      </c>
      <c r="C196" s="8" t="s">
        <v>769</v>
      </c>
      <c r="D196" s="7" t="s">
        <v>559</v>
      </c>
      <c r="E196" s="7" t="s">
        <v>1189</v>
      </c>
      <c r="F196" s="9">
        <v>46240</v>
      </c>
      <c r="G196" s="9">
        <v>46272</v>
      </c>
      <c r="H196" s="7" t="s">
        <v>89</v>
      </c>
      <c r="I196" s="212" t="s">
        <v>66</v>
      </c>
      <c r="J196" s="213" t="s">
        <v>105</v>
      </c>
      <c r="K196" s="12">
        <v>5700</v>
      </c>
      <c r="L196" s="214">
        <v>0</v>
      </c>
      <c r="M196" s="324">
        <v>0</v>
      </c>
      <c r="N196" s="215">
        <f t="shared" si="12"/>
        <v>5700</v>
      </c>
      <c r="O196" s="216">
        <v>0</v>
      </c>
    </row>
    <row r="197" spans="1:16" ht="15" hidden="1" customHeight="1">
      <c r="A197" s="210" t="s">
        <v>1190</v>
      </c>
      <c r="B197" s="211" t="s">
        <v>768</v>
      </c>
      <c r="C197" s="8" t="s">
        <v>769</v>
      </c>
      <c r="D197" s="7" t="s">
        <v>559</v>
      </c>
      <c r="E197" s="7" t="s">
        <v>1191</v>
      </c>
      <c r="F197" s="9">
        <v>46247</v>
      </c>
      <c r="G197" s="9">
        <v>46278</v>
      </c>
      <c r="H197" s="7" t="s">
        <v>84</v>
      </c>
      <c r="I197" s="212" t="s">
        <v>66</v>
      </c>
      <c r="J197" s="213" t="s">
        <v>105</v>
      </c>
      <c r="K197" s="12">
        <v>6400</v>
      </c>
      <c r="L197" s="214">
        <v>180</v>
      </c>
      <c r="M197" s="324">
        <v>0</v>
      </c>
      <c r="N197" s="215">
        <f t="shared" si="12"/>
        <v>6580</v>
      </c>
      <c r="O197" s="216">
        <v>0</v>
      </c>
    </row>
    <row r="198" spans="1:16" ht="15" hidden="1" customHeight="1">
      <c r="A198" s="210" t="s">
        <v>1192</v>
      </c>
      <c r="B198" s="211" t="s">
        <v>1077</v>
      </c>
      <c r="C198" s="8" t="s">
        <v>769</v>
      </c>
      <c r="D198" s="7" t="s">
        <v>559</v>
      </c>
      <c r="E198" s="7" t="s">
        <v>1193</v>
      </c>
      <c r="F198" s="9">
        <v>46253</v>
      </c>
      <c r="G198" s="9">
        <v>46287</v>
      </c>
      <c r="H198" s="7" t="s">
        <v>89</v>
      </c>
      <c r="I198" s="212" t="s">
        <v>621</v>
      </c>
      <c r="J198" s="213" t="s">
        <v>105</v>
      </c>
      <c r="K198" s="12">
        <v>7450</v>
      </c>
      <c r="L198" s="214">
        <v>0</v>
      </c>
      <c r="M198" s="324">
        <v>0</v>
      </c>
      <c r="N198" s="215">
        <f t="shared" si="12"/>
        <v>7450</v>
      </c>
      <c r="O198" s="216">
        <v>0</v>
      </c>
    </row>
    <row r="199" spans="1:16" ht="15" hidden="1" customHeight="1">
      <c r="A199" s="210" t="s">
        <v>1194</v>
      </c>
      <c r="B199" s="211" t="s">
        <v>1077</v>
      </c>
      <c r="C199" s="8" t="s">
        <v>769</v>
      </c>
      <c r="D199" s="7" t="s">
        <v>559</v>
      </c>
      <c r="E199" s="7" t="s">
        <v>1195</v>
      </c>
      <c r="F199" s="9">
        <v>46253</v>
      </c>
      <c r="G199" s="9">
        <v>46287</v>
      </c>
      <c r="H199" s="7" t="s">
        <v>89</v>
      </c>
      <c r="I199" s="212" t="s">
        <v>621</v>
      </c>
      <c r="J199" s="213" t="s">
        <v>105</v>
      </c>
      <c r="K199" s="12">
        <v>7450</v>
      </c>
      <c r="L199" s="214">
        <v>0</v>
      </c>
      <c r="M199" s="324">
        <v>0</v>
      </c>
      <c r="N199" s="215">
        <f t="shared" si="12"/>
        <v>7450</v>
      </c>
      <c r="O199" s="216">
        <v>0</v>
      </c>
    </row>
    <row r="200" spans="1:16" ht="15" hidden="1" customHeight="1">
      <c r="A200" s="210" t="s">
        <v>1196</v>
      </c>
      <c r="B200" s="211" t="s">
        <v>851</v>
      </c>
      <c r="C200" s="8" t="s">
        <v>769</v>
      </c>
      <c r="D200" s="7" t="s">
        <v>559</v>
      </c>
      <c r="E200" s="7" t="s">
        <v>1197</v>
      </c>
      <c r="F200" s="9">
        <v>46253</v>
      </c>
      <c r="G200" s="9">
        <v>46287</v>
      </c>
      <c r="H200" s="7" t="s">
        <v>89</v>
      </c>
      <c r="I200" s="212" t="s">
        <v>621</v>
      </c>
      <c r="J200" s="213" t="s">
        <v>105</v>
      </c>
      <c r="K200" s="12">
        <v>7450</v>
      </c>
      <c r="L200" s="214">
        <v>100</v>
      </c>
      <c r="M200" s="324">
        <v>0</v>
      </c>
      <c r="N200" s="215">
        <f t="shared" si="12"/>
        <v>7550</v>
      </c>
      <c r="O200" s="216">
        <v>0</v>
      </c>
      <c r="P200" s="6"/>
    </row>
    <row r="201" spans="1:16" ht="15" hidden="1" customHeight="1">
      <c r="A201" s="210" t="s">
        <v>1198</v>
      </c>
      <c r="B201" s="211" t="s">
        <v>1077</v>
      </c>
      <c r="C201" s="8" t="s">
        <v>769</v>
      </c>
      <c r="D201" s="7" t="s">
        <v>559</v>
      </c>
      <c r="E201" s="7" t="s">
        <v>1199</v>
      </c>
      <c r="F201" s="9">
        <v>46253</v>
      </c>
      <c r="G201" s="9">
        <v>46287</v>
      </c>
      <c r="H201" s="7" t="s">
        <v>89</v>
      </c>
      <c r="I201" s="212" t="s">
        <v>621</v>
      </c>
      <c r="J201" s="213" t="s">
        <v>105</v>
      </c>
      <c r="K201" s="12">
        <v>7450</v>
      </c>
      <c r="L201" s="214">
        <v>0</v>
      </c>
      <c r="M201" s="324">
        <v>0</v>
      </c>
      <c r="N201" s="215">
        <f>SUM(K201+L201)</f>
        <v>7450</v>
      </c>
      <c r="O201" s="216">
        <v>0</v>
      </c>
      <c r="P201" s="6"/>
    </row>
    <row r="202" spans="1:16" ht="15" hidden="1" customHeight="1">
      <c r="A202" s="210" t="s">
        <v>1200</v>
      </c>
      <c r="B202" s="211" t="s">
        <v>851</v>
      </c>
      <c r="C202" s="8" t="s">
        <v>769</v>
      </c>
      <c r="D202" s="7" t="s">
        <v>559</v>
      </c>
      <c r="E202" s="7" t="s">
        <v>1201</v>
      </c>
      <c r="F202" s="9">
        <v>46253</v>
      </c>
      <c r="G202" s="9">
        <v>46287</v>
      </c>
      <c r="H202" s="7" t="s">
        <v>89</v>
      </c>
      <c r="I202" s="212" t="s">
        <v>621</v>
      </c>
      <c r="J202" s="213" t="s">
        <v>105</v>
      </c>
      <c r="K202" s="12">
        <v>7450</v>
      </c>
      <c r="L202" s="214">
        <v>100</v>
      </c>
      <c r="M202" s="324">
        <v>0</v>
      </c>
      <c r="N202" s="215">
        <f>SUM(K202+M202)</f>
        <v>7450</v>
      </c>
      <c r="O202" s="216">
        <v>0</v>
      </c>
      <c r="P202" s="6"/>
    </row>
    <row r="203" spans="1:16" ht="15" hidden="1" customHeight="1">
      <c r="A203" s="210" t="s">
        <v>1202</v>
      </c>
      <c r="B203" s="211" t="s">
        <v>782</v>
      </c>
      <c r="C203" s="8" t="s">
        <v>769</v>
      </c>
      <c r="D203" s="7" t="s">
        <v>559</v>
      </c>
      <c r="E203" s="7" t="s">
        <v>1203</v>
      </c>
      <c r="F203" s="9">
        <v>46255</v>
      </c>
      <c r="G203" s="9">
        <v>46287</v>
      </c>
      <c r="H203" s="7" t="s">
        <v>89</v>
      </c>
      <c r="I203" s="212" t="s">
        <v>648</v>
      </c>
      <c r="J203" s="213" t="s">
        <v>105</v>
      </c>
      <c r="K203" s="12">
        <v>7400</v>
      </c>
      <c r="L203" s="214">
        <v>180</v>
      </c>
      <c r="M203" s="324">
        <v>662</v>
      </c>
      <c r="N203" s="215">
        <f t="shared" ref="N203:N217" si="13">SUM(K203:M203)</f>
        <v>8242</v>
      </c>
      <c r="O203" s="216">
        <v>0</v>
      </c>
    </row>
    <row r="204" spans="1:16" ht="15" hidden="1" customHeight="1">
      <c r="A204" s="210" t="s">
        <v>1204</v>
      </c>
      <c r="B204" s="211" t="s">
        <v>851</v>
      </c>
      <c r="C204" s="8" t="s">
        <v>769</v>
      </c>
      <c r="D204" s="7" t="s">
        <v>559</v>
      </c>
      <c r="E204" s="7" t="s">
        <v>1205</v>
      </c>
      <c r="F204" s="9">
        <v>46235</v>
      </c>
      <c r="G204" s="9">
        <v>46271</v>
      </c>
      <c r="H204" s="7" t="s">
        <v>507</v>
      </c>
      <c r="I204" s="212" t="s">
        <v>85</v>
      </c>
      <c r="J204" s="213" t="s">
        <v>105</v>
      </c>
      <c r="K204" s="12">
        <v>6750</v>
      </c>
      <c r="L204" s="214">
        <v>100</v>
      </c>
      <c r="M204" s="324">
        <v>0</v>
      </c>
      <c r="N204" s="215">
        <f t="shared" si="13"/>
        <v>6850</v>
      </c>
      <c r="O204" s="216">
        <v>0</v>
      </c>
    </row>
    <row r="205" spans="1:16" ht="15" hidden="1" customHeight="1">
      <c r="A205" s="210" t="s">
        <v>1206</v>
      </c>
      <c r="B205" s="211" t="s">
        <v>1207</v>
      </c>
      <c r="C205" s="8" t="s">
        <v>769</v>
      </c>
      <c r="D205" s="7" t="s">
        <v>559</v>
      </c>
      <c r="E205" s="7" t="s">
        <v>1208</v>
      </c>
      <c r="F205" s="9">
        <v>46210</v>
      </c>
      <c r="G205" s="9">
        <v>46250</v>
      </c>
      <c r="H205" s="7" t="s">
        <v>100</v>
      </c>
      <c r="I205" s="212" t="s">
        <v>66</v>
      </c>
      <c r="J205" s="213" t="s">
        <v>105</v>
      </c>
      <c r="K205" s="12">
        <v>6200</v>
      </c>
      <c r="L205" s="214">
        <v>280</v>
      </c>
      <c r="M205" s="324">
        <v>0</v>
      </c>
      <c r="N205" s="215">
        <f t="shared" si="13"/>
        <v>6480</v>
      </c>
      <c r="O205" s="216">
        <v>0</v>
      </c>
    </row>
    <row r="206" spans="1:16" ht="15" hidden="1" customHeight="1">
      <c r="A206" s="210" t="s">
        <v>1209</v>
      </c>
      <c r="B206" s="211" t="s">
        <v>1207</v>
      </c>
      <c r="C206" s="8" t="s">
        <v>769</v>
      </c>
      <c r="D206" s="7" t="s">
        <v>559</v>
      </c>
      <c r="E206" s="7" t="s">
        <v>1210</v>
      </c>
      <c r="F206" s="9">
        <v>46218</v>
      </c>
      <c r="G206" s="9">
        <v>46252</v>
      </c>
      <c r="H206" s="7" t="s">
        <v>89</v>
      </c>
      <c r="I206" s="212" t="s">
        <v>621</v>
      </c>
      <c r="J206" s="213" t="s">
        <v>105</v>
      </c>
      <c r="K206" s="12">
        <v>5900</v>
      </c>
      <c r="L206" s="214">
        <v>280</v>
      </c>
      <c r="M206" s="324">
        <v>0</v>
      </c>
      <c r="N206" s="215">
        <f t="shared" si="13"/>
        <v>6180</v>
      </c>
      <c r="O206" s="216">
        <v>0</v>
      </c>
    </row>
    <row r="207" spans="1:16" ht="15" hidden="1" customHeight="1">
      <c r="A207" s="210" t="s">
        <v>1211</v>
      </c>
      <c r="B207" s="211" t="s">
        <v>1207</v>
      </c>
      <c r="C207" s="8" t="s">
        <v>769</v>
      </c>
      <c r="D207" s="7" t="s">
        <v>559</v>
      </c>
      <c r="E207" s="7" t="s">
        <v>1212</v>
      </c>
      <c r="F207" s="9">
        <v>46214</v>
      </c>
      <c r="G207" s="9">
        <v>46240</v>
      </c>
      <c r="H207" s="7" t="s">
        <v>1213</v>
      </c>
      <c r="I207" s="212" t="s">
        <v>85</v>
      </c>
      <c r="J207" s="213" t="s">
        <v>105</v>
      </c>
      <c r="K207" s="12">
        <v>5700</v>
      </c>
      <c r="L207" s="214">
        <v>280</v>
      </c>
      <c r="M207" s="324">
        <v>0</v>
      </c>
      <c r="N207" s="215">
        <f t="shared" si="13"/>
        <v>5980</v>
      </c>
      <c r="O207" s="216">
        <v>0</v>
      </c>
    </row>
    <row r="208" spans="1:16" ht="15" hidden="1" customHeight="1">
      <c r="A208" s="210" t="s">
        <v>1214</v>
      </c>
      <c r="B208" s="211" t="s">
        <v>1207</v>
      </c>
      <c r="C208" s="8" t="s">
        <v>769</v>
      </c>
      <c r="D208" s="7" t="s">
        <v>559</v>
      </c>
      <c r="E208" s="7" t="s">
        <v>1215</v>
      </c>
      <c r="F208" s="9">
        <v>46221</v>
      </c>
      <c r="G208" s="9">
        <v>46239</v>
      </c>
      <c r="H208" s="7" t="s">
        <v>100</v>
      </c>
      <c r="I208" s="212" t="s">
        <v>85</v>
      </c>
      <c r="J208" s="213" t="s">
        <v>105</v>
      </c>
      <c r="K208" s="12">
        <v>5500</v>
      </c>
      <c r="L208" s="214">
        <v>280</v>
      </c>
      <c r="M208" s="324">
        <v>0</v>
      </c>
      <c r="N208" s="215">
        <f t="shared" si="13"/>
        <v>5780</v>
      </c>
      <c r="O208" s="216">
        <v>0</v>
      </c>
    </row>
    <row r="209" spans="1:15" ht="15" hidden="1" customHeight="1">
      <c r="A209" s="210" t="s">
        <v>1216</v>
      </c>
      <c r="B209" s="211" t="s">
        <v>1207</v>
      </c>
      <c r="C209" s="8" t="s">
        <v>769</v>
      </c>
      <c r="D209" s="7" t="s">
        <v>559</v>
      </c>
      <c r="E209" s="7" t="s">
        <v>1217</v>
      </c>
      <c r="F209" s="9">
        <v>46228</v>
      </c>
      <c r="G209" s="9">
        <v>46257</v>
      </c>
      <c r="H209" s="7" t="s">
        <v>100</v>
      </c>
      <c r="I209" s="212" t="s">
        <v>85</v>
      </c>
      <c r="J209" s="213" t="s">
        <v>105</v>
      </c>
      <c r="K209" s="12">
        <v>5000</v>
      </c>
      <c r="L209" s="214">
        <v>280</v>
      </c>
      <c r="M209" s="324">
        <v>0</v>
      </c>
      <c r="N209" s="215">
        <f t="shared" si="13"/>
        <v>5280</v>
      </c>
      <c r="O209" s="216">
        <v>0</v>
      </c>
    </row>
    <row r="210" spans="1:15" ht="15" hidden="1" customHeight="1">
      <c r="A210" s="210" t="s">
        <v>1218</v>
      </c>
      <c r="B210" s="211" t="s">
        <v>1207</v>
      </c>
      <c r="C210" s="8" t="s">
        <v>769</v>
      </c>
      <c r="D210" s="7" t="s">
        <v>559</v>
      </c>
      <c r="E210" s="7" t="s">
        <v>1219</v>
      </c>
      <c r="F210" s="9">
        <v>46246</v>
      </c>
      <c r="G210" s="9">
        <v>46281</v>
      </c>
      <c r="H210" s="7" t="s">
        <v>89</v>
      </c>
      <c r="I210" s="212" t="s">
        <v>621</v>
      </c>
      <c r="J210" s="213" t="s">
        <v>105</v>
      </c>
      <c r="K210" s="12">
        <v>6550</v>
      </c>
      <c r="L210" s="214">
        <v>280</v>
      </c>
      <c r="M210" s="324">
        <v>0</v>
      </c>
      <c r="N210" s="215">
        <f t="shared" si="13"/>
        <v>6830</v>
      </c>
      <c r="O210" s="216">
        <v>0</v>
      </c>
    </row>
    <row r="211" spans="1:15" ht="15" hidden="1" customHeight="1">
      <c r="A211" s="210" t="s">
        <v>1220</v>
      </c>
      <c r="B211" s="211" t="s">
        <v>1207</v>
      </c>
      <c r="C211" s="8" t="s">
        <v>769</v>
      </c>
      <c r="D211" s="7" t="s">
        <v>559</v>
      </c>
      <c r="E211" s="7" t="s">
        <v>1221</v>
      </c>
      <c r="F211" s="9">
        <v>46235</v>
      </c>
      <c r="G211" s="9">
        <v>46284</v>
      </c>
      <c r="H211" s="7" t="s">
        <v>100</v>
      </c>
      <c r="I211" s="212" t="s">
        <v>85</v>
      </c>
      <c r="J211" s="213" t="s">
        <v>105</v>
      </c>
      <c r="K211" s="12">
        <v>5400</v>
      </c>
      <c r="L211" s="214">
        <v>280</v>
      </c>
      <c r="M211" s="324">
        <v>0</v>
      </c>
      <c r="N211" s="215">
        <f t="shared" si="13"/>
        <v>5680</v>
      </c>
      <c r="O211" s="216">
        <v>0</v>
      </c>
    </row>
    <row r="212" spans="1:15" ht="15" hidden="1" customHeight="1">
      <c r="A212" s="210" t="s">
        <v>1222</v>
      </c>
      <c r="B212" s="211" t="s">
        <v>1207</v>
      </c>
      <c r="C212" s="8" t="s">
        <v>769</v>
      </c>
      <c r="D212" s="7" t="s">
        <v>559</v>
      </c>
      <c r="E212" s="7" t="s">
        <v>1223</v>
      </c>
      <c r="F212" s="9">
        <v>46235</v>
      </c>
      <c r="G212" s="9">
        <v>46284</v>
      </c>
      <c r="H212" s="7" t="s">
        <v>100</v>
      </c>
      <c r="I212" s="212" t="s">
        <v>85</v>
      </c>
      <c r="J212" s="213" t="s">
        <v>105</v>
      </c>
      <c r="K212" s="12">
        <v>5400</v>
      </c>
      <c r="L212" s="214">
        <v>280</v>
      </c>
      <c r="M212" s="324">
        <v>0</v>
      </c>
      <c r="N212" s="215">
        <f t="shared" si="13"/>
        <v>5680</v>
      </c>
      <c r="O212" s="216">
        <v>0</v>
      </c>
    </row>
    <row r="213" spans="1:15" ht="15" hidden="1" customHeight="1">
      <c r="A213" s="210" t="s">
        <v>1224</v>
      </c>
      <c r="B213" s="211" t="s">
        <v>1207</v>
      </c>
      <c r="C213" s="8" t="s">
        <v>769</v>
      </c>
      <c r="D213" s="7" t="s">
        <v>559</v>
      </c>
      <c r="E213" s="7" t="s">
        <v>1225</v>
      </c>
      <c r="F213" s="9">
        <v>46250</v>
      </c>
      <c r="G213" s="9">
        <v>46274</v>
      </c>
      <c r="H213" s="7" t="s">
        <v>84</v>
      </c>
      <c r="I213" s="212" t="s">
        <v>66</v>
      </c>
      <c r="J213" s="213" t="s">
        <v>105</v>
      </c>
      <c r="K213" s="12">
        <v>7050</v>
      </c>
      <c r="L213" s="214">
        <v>280</v>
      </c>
      <c r="M213" s="324">
        <v>0</v>
      </c>
      <c r="N213" s="215">
        <f t="shared" si="13"/>
        <v>7330</v>
      </c>
      <c r="O213" s="216">
        <v>0</v>
      </c>
    </row>
    <row r="214" spans="1:15" ht="15" hidden="1" customHeight="1">
      <c r="A214" s="210" t="s">
        <v>1226</v>
      </c>
      <c r="B214" s="211" t="s">
        <v>1207</v>
      </c>
      <c r="C214" s="8" t="s">
        <v>769</v>
      </c>
      <c r="D214" s="7" t="s">
        <v>559</v>
      </c>
      <c r="E214" s="7" t="s">
        <v>1227</v>
      </c>
      <c r="F214" s="9">
        <v>46255</v>
      </c>
      <c r="G214" s="9">
        <v>46284</v>
      </c>
      <c r="H214" s="7" t="s">
        <v>100</v>
      </c>
      <c r="I214" s="212" t="s">
        <v>85</v>
      </c>
      <c r="J214" s="213" t="s">
        <v>105</v>
      </c>
      <c r="K214" s="12">
        <v>6900</v>
      </c>
      <c r="L214" s="214">
        <v>280</v>
      </c>
      <c r="M214" s="324">
        <v>0</v>
      </c>
      <c r="N214" s="215">
        <f t="shared" si="13"/>
        <v>7180</v>
      </c>
      <c r="O214" s="216">
        <v>0</v>
      </c>
    </row>
    <row r="215" spans="1:15" ht="15" hidden="1" customHeight="1">
      <c r="A215" s="210" t="s">
        <v>1228</v>
      </c>
      <c r="B215" s="211" t="s">
        <v>1207</v>
      </c>
      <c r="C215" s="8" t="s">
        <v>769</v>
      </c>
      <c r="D215" s="7" t="s">
        <v>559</v>
      </c>
      <c r="E215" s="7" t="s">
        <v>1229</v>
      </c>
      <c r="F215" s="9">
        <v>46239</v>
      </c>
      <c r="G215" s="9">
        <v>46276</v>
      </c>
      <c r="H215" s="7" t="s">
        <v>1175</v>
      </c>
      <c r="I215" s="212" t="s">
        <v>66</v>
      </c>
      <c r="J215" s="213" t="s">
        <v>105</v>
      </c>
      <c r="K215" s="12">
        <v>5700</v>
      </c>
      <c r="L215" s="214">
        <v>280</v>
      </c>
      <c r="M215" s="324">
        <v>0</v>
      </c>
      <c r="N215" s="215">
        <f t="shared" si="13"/>
        <v>5980</v>
      </c>
      <c r="O215" s="216">
        <v>0</v>
      </c>
    </row>
    <row r="216" spans="1:15" ht="15" hidden="1" customHeight="1">
      <c r="A216" s="210" t="s">
        <v>1230</v>
      </c>
      <c r="B216" s="211" t="s">
        <v>1207</v>
      </c>
      <c r="C216" s="8" t="s">
        <v>769</v>
      </c>
      <c r="D216" s="7" t="s">
        <v>559</v>
      </c>
      <c r="E216" s="7" t="s">
        <v>1231</v>
      </c>
      <c r="F216" s="9">
        <v>46235</v>
      </c>
      <c r="G216" s="9">
        <v>46284</v>
      </c>
      <c r="H216" s="7" t="s">
        <v>507</v>
      </c>
      <c r="I216" s="212" t="s">
        <v>85</v>
      </c>
      <c r="J216" s="213" t="s">
        <v>105</v>
      </c>
      <c r="K216" s="12">
        <v>6700</v>
      </c>
      <c r="L216" s="214">
        <v>280</v>
      </c>
      <c r="M216" s="324">
        <v>0</v>
      </c>
      <c r="N216" s="215">
        <f t="shared" si="13"/>
        <v>6980</v>
      </c>
      <c r="O216" s="216">
        <v>0</v>
      </c>
    </row>
    <row r="217" spans="1:15" ht="15" hidden="1" customHeight="1">
      <c r="A217" s="210" t="s">
        <v>1232</v>
      </c>
      <c r="B217" s="211" t="s">
        <v>1207</v>
      </c>
      <c r="C217" s="8" t="s">
        <v>769</v>
      </c>
      <c r="D217" s="7" t="s">
        <v>559</v>
      </c>
      <c r="E217" s="7" t="s">
        <v>1233</v>
      </c>
      <c r="F217" s="9">
        <v>46250</v>
      </c>
      <c r="G217" s="9">
        <v>46274</v>
      </c>
      <c r="H217" s="7" t="s">
        <v>84</v>
      </c>
      <c r="I217" s="212" t="s">
        <v>66</v>
      </c>
      <c r="J217" s="213" t="s">
        <v>105</v>
      </c>
      <c r="K217" s="12">
        <v>6400</v>
      </c>
      <c r="L217" s="214">
        <v>280</v>
      </c>
      <c r="M217" s="324">
        <v>0</v>
      </c>
      <c r="N217" s="215">
        <f t="shared" si="13"/>
        <v>6680</v>
      </c>
      <c r="O217" s="216">
        <v>0</v>
      </c>
    </row>
    <row r="218" spans="1:15" ht="15" hidden="1" customHeight="1">
      <c r="A218" s="210" t="s">
        <v>1234</v>
      </c>
      <c r="B218" s="211" t="s">
        <v>1235</v>
      </c>
      <c r="C218" s="8" t="s">
        <v>769</v>
      </c>
      <c r="D218" s="7" t="s">
        <v>559</v>
      </c>
      <c r="E218" s="7" t="s">
        <v>1236</v>
      </c>
      <c r="F218" s="9">
        <v>46241</v>
      </c>
      <c r="G218" s="9">
        <v>46287</v>
      </c>
      <c r="H218" s="7" t="s">
        <v>89</v>
      </c>
      <c r="I218" s="212" t="s">
        <v>648</v>
      </c>
      <c r="J218" s="213" t="s">
        <v>105</v>
      </c>
      <c r="K218" s="12">
        <v>5700</v>
      </c>
      <c r="L218" s="214">
        <v>180</v>
      </c>
      <c r="M218" s="324">
        <v>0</v>
      </c>
      <c r="N218" s="215">
        <f t="shared" ref="N218:N226" si="14">SUM(K218:M218)</f>
        <v>5880</v>
      </c>
      <c r="O218" s="216">
        <v>0</v>
      </c>
    </row>
    <row r="219" spans="1:15" ht="15" hidden="1" customHeight="1">
      <c r="A219" s="210" t="s">
        <v>1237</v>
      </c>
      <c r="B219" s="211" t="s">
        <v>804</v>
      </c>
      <c r="C219" s="8" t="s">
        <v>769</v>
      </c>
      <c r="D219" s="7" t="s">
        <v>559</v>
      </c>
      <c r="E219" s="7" t="s">
        <v>1238</v>
      </c>
      <c r="F219" s="9">
        <v>46257</v>
      </c>
      <c r="G219" s="9">
        <v>46288</v>
      </c>
      <c r="H219" s="7" t="s">
        <v>84</v>
      </c>
      <c r="I219" s="212" t="s">
        <v>621</v>
      </c>
      <c r="J219" s="213" t="s">
        <v>105</v>
      </c>
      <c r="K219" s="12">
        <v>7600</v>
      </c>
      <c r="L219" s="214">
        <v>100</v>
      </c>
      <c r="M219" s="324">
        <v>0</v>
      </c>
      <c r="N219" s="215">
        <f t="shared" si="14"/>
        <v>7700</v>
      </c>
      <c r="O219" s="216">
        <v>0</v>
      </c>
    </row>
    <row r="220" spans="1:15" ht="15" hidden="1" customHeight="1">
      <c r="A220" s="210" t="s">
        <v>1239</v>
      </c>
      <c r="B220" s="211" t="s">
        <v>851</v>
      </c>
      <c r="C220" s="8" t="s">
        <v>769</v>
      </c>
      <c r="D220" s="7" t="s">
        <v>559</v>
      </c>
      <c r="E220" s="7" t="s">
        <v>1240</v>
      </c>
      <c r="F220" s="9">
        <v>46254</v>
      </c>
      <c r="G220" s="9">
        <v>46286</v>
      </c>
      <c r="H220" s="7" t="s">
        <v>100</v>
      </c>
      <c r="I220" s="212" t="s">
        <v>85</v>
      </c>
      <c r="J220" s="213" t="s">
        <v>105</v>
      </c>
      <c r="K220" s="12">
        <v>6900</v>
      </c>
      <c r="L220" s="214">
        <v>100</v>
      </c>
      <c r="M220" s="324">
        <v>0</v>
      </c>
      <c r="N220" s="215">
        <f t="shared" si="14"/>
        <v>7000</v>
      </c>
      <c r="O220" s="216">
        <v>0</v>
      </c>
    </row>
    <row r="221" spans="1:15" ht="15" hidden="1" customHeight="1">
      <c r="A221" s="210" t="s">
        <v>1241</v>
      </c>
      <c r="B221" s="211" t="s">
        <v>851</v>
      </c>
      <c r="C221" s="8" t="s">
        <v>769</v>
      </c>
      <c r="D221" s="7" t="s">
        <v>559</v>
      </c>
      <c r="E221" s="7" t="s">
        <v>1242</v>
      </c>
      <c r="F221" s="9">
        <v>46257</v>
      </c>
      <c r="G221" s="9">
        <v>46288</v>
      </c>
      <c r="H221" s="7" t="s">
        <v>84</v>
      </c>
      <c r="I221" s="212" t="s">
        <v>621</v>
      </c>
      <c r="J221" s="213" t="s">
        <v>105</v>
      </c>
      <c r="K221" s="12">
        <v>7600</v>
      </c>
      <c r="L221" s="214">
        <v>100</v>
      </c>
      <c r="M221" s="324">
        <v>0</v>
      </c>
      <c r="N221" s="215">
        <f t="shared" si="14"/>
        <v>7700</v>
      </c>
      <c r="O221" s="216">
        <v>0</v>
      </c>
    </row>
    <row r="222" spans="1:15" ht="15" hidden="1" customHeight="1">
      <c r="A222" s="210" t="s">
        <v>1243</v>
      </c>
      <c r="B222" s="211" t="s">
        <v>851</v>
      </c>
      <c r="C222" s="8" t="s">
        <v>769</v>
      </c>
      <c r="D222" s="7" t="s">
        <v>559</v>
      </c>
      <c r="E222" s="7" t="s">
        <v>1244</v>
      </c>
      <c r="F222" s="9">
        <v>46257</v>
      </c>
      <c r="G222" s="9">
        <v>46288</v>
      </c>
      <c r="H222" s="7" t="s">
        <v>84</v>
      </c>
      <c r="I222" s="212" t="s">
        <v>621</v>
      </c>
      <c r="J222" s="213" t="s">
        <v>105</v>
      </c>
      <c r="K222" s="12">
        <v>7600</v>
      </c>
      <c r="L222" s="214">
        <v>100</v>
      </c>
      <c r="M222" s="324">
        <v>0</v>
      </c>
      <c r="N222" s="215">
        <f t="shared" si="14"/>
        <v>7700</v>
      </c>
      <c r="O222" s="216">
        <v>0</v>
      </c>
    </row>
    <row r="223" spans="1:15" ht="15" hidden="1" customHeight="1">
      <c r="A223" s="210" t="s">
        <v>1245</v>
      </c>
      <c r="B223" s="211" t="s">
        <v>851</v>
      </c>
      <c r="C223" s="8" t="s">
        <v>769</v>
      </c>
      <c r="D223" s="7" t="s">
        <v>559</v>
      </c>
      <c r="E223" s="7" t="s">
        <v>1246</v>
      </c>
      <c r="F223" s="9">
        <v>46257</v>
      </c>
      <c r="G223" s="9">
        <v>46288</v>
      </c>
      <c r="H223" s="7" t="s">
        <v>84</v>
      </c>
      <c r="I223" s="212" t="s">
        <v>621</v>
      </c>
      <c r="J223" s="213" t="s">
        <v>105</v>
      </c>
      <c r="K223" s="12">
        <v>7600</v>
      </c>
      <c r="L223" s="214">
        <v>100</v>
      </c>
      <c r="M223" s="324">
        <v>0</v>
      </c>
      <c r="N223" s="215">
        <f t="shared" si="14"/>
        <v>7700</v>
      </c>
      <c r="O223" s="216">
        <v>0</v>
      </c>
    </row>
    <row r="224" spans="1:15" ht="15" hidden="1" customHeight="1">
      <c r="A224" s="210" t="s">
        <v>1247</v>
      </c>
      <c r="B224" s="211" t="s">
        <v>1077</v>
      </c>
      <c r="C224" s="8" t="s">
        <v>769</v>
      </c>
      <c r="D224" s="7" t="s">
        <v>559</v>
      </c>
      <c r="E224" s="7" t="s">
        <v>1248</v>
      </c>
      <c r="F224" s="9">
        <v>46257</v>
      </c>
      <c r="G224" s="9">
        <v>46288</v>
      </c>
      <c r="H224" s="7" t="s">
        <v>84</v>
      </c>
      <c r="I224" s="212" t="s">
        <v>621</v>
      </c>
      <c r="J224" s="213" t="s">
        <v>105</v>
      </c>
      <c r="K224" s="12">
        <v>7600</v>
      </c>
      <c r="L224" s="214">
        <v>0</v>
      </c>
      <c r="M224" s="324">
        <v>0</v>
      </c>
      <c r="N224" s="215">
        <f t="shared" si="14"/>
        <v>7600</v>
      </c>
      <c r="O224" s="216">
        <v>0</v>
      </c>
    </row>
    <row r="225" spans="1:18" ht="15" hidden="1" customHeight="1">
      <c r="A225" s="210" t="s">
        <v>1249</v>
      </c>
      <c r="B225" s="211" t="s">
        <v>1077</v>
      </c>
      <c r="C225" s="8" t="s">
        <v>769</v>
      </c>
      <c r="D225" s="7" t="s">
        <v>559</v>
      </c>
      <c r="E225" s="7" t="s">
        <v>1250</v>
      </c>
      <c r="F225" s="9">
        <v>46257</v>
      </c>
      <c r="G225" s="9">
        <v>46288</v>
      </c>
      <c r="H225" s="7" t="s">
        <v>84</v>
      </c>
      <c r="I225" s="212" t="s">
        <v>621</v>
      </c>
      <c r="J225" s="213" t="s">
        <v>105</v>
      </c>
      <c r="K225" s="12">
        <v>7600</v>
      </c>
      <c r="L225" s="214">
        <v>0</v>
      </c>
      <c r="M225" s="324">
        <v>0</v>
      </c>
      <c r="N225" s="215">
        <f t="shared" si="14"/>
        <v>7600</v>
      </c>
      <c r="O225" s="216">
        <v>4506</v>
      </c>
      <c r="R225" s="1"/>
    </row>
    <row r="226" spans="1:18" ht="15" hidden="1" customHeight="1">
      <c r="A226" s="114" t="s">
        <v>1251</v>
      </c>
      <c r="B226" s="106" t="s">
        <v>1207</v>
      </c>
      <c r="C226" s="33" t="s">
        <v>769</v>
      </c>
      <c r="D226" s="32" t="s">
        <v>559</v>
      </c>
      <c r="E226" s="32" t="s">
        <v>1252</v>
      </c>
      <c r="F226" s="34">
        <v>46263</v>
      </c>
      <c r="G226" s="34">
        <v>46297</v>
      </c>
      <c r="H226" s="32" t="s">
        <v>100</v>
      </c>
      <c r="I226" s="77" t="s">
        <v>85</v>
      </c>
      <c r="J226" s="286" t="s">
        <v>105</v>
      </c>
      <c r="K226" s="81">
        <v>8000</v>
      </c>
      <c r="L226" s="261">
        <v>280</v>
      </c>
      <c r="M226" s="223">
        <v>0</v>
      </c>
      <c r="N226" s="287">
        <f t="shared" si="14"/>
        <v>8280</v>
      </c>
      <c r="O226" s="155">
        <f t="shared" ref="O226" si="15">N226</f>
        <v>8280</v>
      </c>
      <c r="R226" s="1"/>
    </row>
    <row r="227" spans="1:18" ht="15" hidden="1" customHeight="1">
      <c r="A227" s="114" t="s">
        <v>1253</v>
      </c>
      <c r="B227" s="106" t="s">
        <v>772</v>
      </c>
      <c r="C227" s="33" t="s">
        <v>769</v>
      </c>
      <c r="D227" s="32" t="s">
        <v>559</v>
      </c>
      <c r="E227" s="32" t="s">
        <v>1254</v>
      </c>
      <c r="F227" s="34">
        <v>46255</v>
      </c>
      <c r="G227" s="34">
        <v>46289</v>
      </c>
      <c r="H227" s="32" t="s">
        <v>89</v>
      </c>
      <c r="I227" s="77" t="s">
        <v>66</v>
      </c>
      <c r="J227" s="286" t="s">
        <v>105</v>
      </c>
      <c r="K227" s="81">
        <v>7350</v>
      </c>
      <c r="L227" s="261">
        <v>0</v>
      </c>
      <c r="M227" s="223">
        <v>0</v>
      </c>
      <c r="N227" s="287">
        <f t="shared" ref="N227:N239" si="16">SUM(K227:M227)</f>
        <v>7350</v>
      </c>
      <c r="O227" s="155">
        <f t="shared" ref="O227:O238" si="17">N227</f>
        <v>7350</v>
      </c>
      <c r="R227" s="1"/>
    </row>
    <row r="228" spans="1:18" ht="15" hidden="1" customHeight="1">
      <c r="A228" s="114" t="s">
        <v>1255</v>
      </c>
      <c r="B228" s="106" t="s">
        <v>772</v>
      </c>
      <c r="C228" s="33" t="s">
        <v>769</v>
      </c>
      <c r="D228" s="32" t="s">
        <v>559</v>
      </c>
      <c r="E228" s="32" t="s">
        <v>1256</v>
      </c>
      <c r="F228" s="34">
        <v>46254</v>
      </c>
      <c r="G228" s="34">
        <v>46288</v>
      </c>
      <c r="H228" s="32" t="s">
        <v>1175</v>
      </c>
      <c r="I228" s="77" t="s">
        <v>66</v>
      </c>
      <c r="J228" s="286" t="s">
        <v>105</v>
      </c>
      <c r="K228" s="81">
        <v>7300</v>
      </c>
      <c r="L228" s="261">
        <v>0</v>
      </c>
      <c r="M228" s="223">
        <v>0</v>
      </c>
      <c r="N228" s="287">
        <f t="shared" si="16"/>
        <v>7300</v>
      </c>
      <c r="O228" s="155">
        <f t="shared" si="17"/>
        <v>7300</v>
      </c>
    </row>
    <row r="229" spans="1:18" ht="15" customHeight="1">
      <c r="A229" s="114" t="s">
        <v>1257</v>
      </c>
      <c r="B229" s="106" t="s">
        <v>1258</v>
      </c>
      <c r="C229" s="33" t="s">
        <v>769</v>
      </c>
      <c r="D229" s="32" t="s">
        <v>559</v>
      </c>
      <c r="E229" s="32" t="s">
        <v>1259</v>
      </c>
      <c r="F229" s="34">
        <v>46270</v>
      </c>
      <c r="G229" s="34">
        <v>46295</v>
      </c>
      <c r="H229" s="32" t="s">
        <v>84</v>
      </c>
      <c r="I229" s="77" t="s">
        <v>316</v>
      </c>
      <c r="J229" s="286" t="s">
        <v>105</v>
      </c>
      <c r="K229" s="81">
        <v>7950</v>
      </c>
      <c r="L229" s="261">
        <v>0</v>
      </c>
      <c r="M229" s="223">
        <v>0</v>
      </c>
      <c r="N229" s="287">
        <f t="shared" si="16"/>
        <v>7950</v>
      </c>
      <c r="O229" s="155">
        <f t="shared" si="17"/>
        <v>7950</v>
      </c>
    </row>
    <row r="230" spans="1:18" ht="15" customHeight="1">
      <c r="A230" s="114" t="s">
        <v>1260</v>
      </c>
      <c r="B230" s="106" t="s">
        <v>1258</v>
      </c>
      <c r="C230" s="33" t="s">
        <v>769</v>
      </c>
      <c r="D230" s="32" t="s">
        <v>559</v>
      </c>
      <c r="E230" s="32" t="s">
        <v>1261</v>
      </c>
      <c r="F230" s="34">
        <v>46264</v>
      </c>
      <c r="G230" s="34">
        <v>46295</v>
      </c>
      <c r="H230" s="32" t="s">
        <v>89</v>
      </c>
      <c r="I230" s="77" t="s">
        <v>316</v>
      </c>
      <c r="J230" s="286" t="s">
        <v>105</v>
      </c>
      <c r="K230" s="81">
        <v>8000</v>
      </c>
      <c r="L230" s="261">
        <v>180</v>
      </c>
      <c r="M230" s="223">
        <v>0</v>
      </c>
      <c r="N230" s="287">
        <f t="shared" si="16"/>
        <v>8180</v>
      </c>
      <c r="O230" s="155">
        <f t="shared" si="17"/>
        <v>8180</v>
      </c>
    </row>
    <row r="231" spans="1:18" ht="15" customHeight="1">
      <c r="A231" s="114" t="s">
        <v>1262</v>
      </c>
      <c r="B231" s="106" t="s">
        <v>986</v>
      </c>
      <c r="C231" s="33" t="s">
        <v>769</v>
      </c>
      <c r="D231" s="32" t="s">
        <v>559</v>
      </c>
      <c r="E231" s="32" t="s">
        <v>1263</v>
      </c>
      <c r="F231" s="34">
        <v>46267</v>
      </c>
      <c r="G231" s="34">
        <v>46301</v>
      </c>
      <c r="H231" s="32" t="s">
        <v>89</v>
      </c>
      <c r="I231" s="77" t="s">
        <v>621</v>
      </c>
      <c r="J231" s="286" t="s">
        <v>105</v>
      </c>
      <c r="K231" s="81">
        <v>8750</v>
      </c>
      <c r="L231" s="261">
        <v>180</v>
      </c>
      <c r="M231" s="223">
        <v>0</v>
      </c>
      <c r="N231" s="287">
        <f t="shared" si="16"/>
        <v>8930</v>
      </c>
      <c r="O231" s="155">
        <f t="shared" si="17"/>
        <v>8930</v>
      </c>
    </row>
    <row r="232" spans="1:18" ht="15" hidden="1" customHeight="1">
      <c r="A232" s="114" t="s">
        <v>1264</v>
      </c>
      <c r="B232" s="106" t="s">
        <v>851</v>
      </c>
      <c r="C232" s="33" t="s">
        <v>769</v>
      </c>
      <c r="D232" s="32" t="s">
        <v>559</v>
      </c>
      <c r="E232" s="32" t="s">
        <v>1265</v>
      </c>
      <c r="F232" s="34">
        <v>46257</v>
      </c>
      <c r="G232" s="34">
        <v>46288</v>
      </c>
      <c r="H232" s="32" t="s">
        <v>89</v>
      </c>
      <c r="I232" s="77" t="s">
        <v>85</v>
      </c>
      <c r="J232" s="286" t="s">
        <v>105</v>
      </c>
      <c r="K232" s="81">
        <v>8000</v>
      </c>
      <c r="L232" s="261">
        <v>100</v>
      </c>
      <c r="M232" s="223">
        <v>0</v>
      </c>
      <c r="N232" s="287">
        <f t="shared" si="16"/>
        <v>8100</v>
      </c>
      <c r="O232" s="155">
        <f t="shared" si="17"/>
        <v>8100</v>
      </c>
    </row>
    <row r="233" spans="1:18" ht="15" hidden="1" customHeight="1">
      <c r="A233" s="114" t="s">
        <v>1266</v>
      </c>
      <c r="B233" s="106" t="s">
        <v>851</v>
      </c>
      <c r="C233" s="33" t="s">
        <v>769</v>
      </c>
      <c r="D233" s="32" t="s">
        <v>559</v>
      </c>
      <c r="E233" s="32" t="s">
        <v>1267</v>
      </c>
      <c r="F233" s="34">
        <v>46256</v>
      </c>
      <c r="G233" s="34">
        <v>46281</v>
      </c>
      <c r="H233" s="32" t="s">
        <v>100</v>
      </c>
      <c r="I233" s="77" t="s">
        <v>85</v>
      </c>
      <c r="J233" s="286" t="s">
        <v>105</v>
      </c>
      <c r="K233" s="81">
        <v>8000</v>
      </c>
      <c r="L233" s="261">
        <v>100</v>
      </c>
      <c r="M233" s="223">
        <v>0</v>
      </c>
      <c r="N233" s="287">
        <f t="shared" si="16"/>
        <v>8100</v>
      </c>
      <c r="O233" s="155">
        <f t="shared" si="17"/>
        <v>8100</v>
      </c>
    </row>
    <row r="234" spans="1:18" ht="15" hidden="1" customHeight="1">
      <c r="A234" s="114" t="s">
        <v>1268</v>
      </c>
      <c r="B234" s="106" t="s">
        <v>851</v>
      </c>
      <c r="C234" s="33" t="s">
        <v>769</v>
      </c>
      <c r="D234" s="32" t="s">
        <v>559</v>
      </c>
      <c r="E234" s="32" t="s">
        <v>1269</v>
      </c>
      <c r="F234" s="34">
        <v>46256</v>
      </c>
      <c r="G234" s="34">
        <v>46281</v>
      </c>
      <c r="H234" s="32" t="s">
        <v>100</v>
      </c>
      <c r="I234" s="77" t="s">
        <v>85</v>
      </c>
      <c r="J234" s="286" t="s">
        <v>105</v>
      </c>
      <c r="K234" s="81">
        <v>8000</v>
      </c>
      <c r="L234" s="261">
        <v>100</v>
      </c>
      <c r="M234" s="223">
        <v>0</v>
      </c>
      <c r="N234" s="287">
        <f t="shared" si="16"/>
        <v>8100</v>
      </c>
      <c r="O234" s="155">
        <f t="shared" si="17"/>
        <v>8100</v>
      </c>
    </row>
    <row r="235" spans="1:18" ht="15" hidden="1" customHeight="1">
      <c r="A235" s="114" t="s">
        <v>1270</v>
      </c>
      <c r="B235" s="106" t="s">
        <v>1271</v>
      </c>
      <c r="C235" s="33" t="s">
        <v>769</v>
      </c>
      <c r="D235" s="32" t="s">
        <v>559</v>
      </c>
      <c r="E235" s="32" t="s">
        <v>1272</v>
      </c>
      <c r="F235" s="34">
        <v>46257</v>
      </c>
      <c r="G235" s="34">
        <v>46288</v>
      </c>
      <c r="H235" s="32" t="s">
        <v>89</v>
      </c>
      <c r="I235" s="77" t="s">
        <v>85</v>
      </c>
      <c r="J235" s="286" t="s">
        <v>105</v>
      </c>
      <c r="K235" s="81">
        <v>8000</v>
      </c>
      <c r="L235" s="261">
        <v>0</v>
      </c>
      <c r="M235" s="223">
        <v>0</v>
      </c>
      <c r="N235" s="287">
        <f t="shared" si="16"/>
        <v>8000</v>
      </c>
      <c r="O235" s="155">
        <f t="shared" si="17"/>
        <v>8000</v>
      </c>
    </row>
    <row r="236" spans="1:18" ht="15" hidden="1" customHeight="1">
      <c r="A236" s="114" t="s">
        <v>1273</v>
      </c>
      <c r="B236" s="106" t="s">
        <v>1274</v>
      </c>
      <c r="C236" s="33" t="s">
        <v>769</v>
      </c>
      <c r="D236" s="32" t="s">
        <v>559</v>
      </c>
      <c r="E236" s="32" t="s">
        <v>1275</v>
      </c>
      <c r="F236" s="34">
        <v>46273</v>
      </c>
      <c r="G236" s="34">
        <v>46296</v>
      </c>
      <c r="H236" s="32" t="s">
        <v>149</v>
      </c>
      <c r="I236" s="77" t="s">
        <v>66</v>
      </c>
      <c r="J236" s="286" t="s">
        <v>105</v>
      </c>
      <c r="K236" s="81">
        <v>7650</v>
      </c>
      <c r="L236" s="261">
        <v>180</v>
      </c>
      <c r="M236" s="223">
        <v>0</v>
      </c>
      <c r="N236" s="287">
        <f t="shared" si="16"/>
        <v>7830</v>
      </c>
      <c r="O236" s="155">
        <f t="shared" si="17"/>
        <v>7830</v>
      </c>
    </row>
    <row r="237" spans="1:18" ht="15" customHeight="1">
      <c r="A237" s="114" t="s">
        <v>1276</v>
      </c>
      <c r="B237" s="106" t="s">
        <v>872</v>
      </c>
      <c r="C237" s="33" t="s">
        <v>769</v>
      </c>
      <c r="D237" s="32" t="s">
        <v>559</v>
      </c>
      <c r="E237" s="32" t="s">
        <v>1277</v>
      </c>
      <c r="F237" s="34">
        <v>46273</v>
      </c>
      <c r="G237" s="34">
        <v>46302</v>
      </c>
      <c r="H237" s="32" t="s">
        <v>84</v>
      </c>
      <c r="I237" s="77" t="s">
        <v>66</v>
      </c>
      <c r="J237" s="286" t="s">
        <v>105</v>
      </c>
      <c r="K237" s="81">
        <v>8000</v>
      </c>
      <c r="L237" s="261">
        <v>180</v>
      </c>
      <c r="M237" s="223">
        <v>0</v>
      </c>
      <c r="N237" s="287">
        <f t="shared" si="16"/>
        <v>8180</v>
      </c>
      <c r="O237" s="155">
        <f t="shared" si="17"/>
        <v>8180</v>
      </c>
    </row>
    <row r="238" spans="1:18" ht="15" hidden="1" customHeight="1">
      <c r="A238" s="114" t="s">
        <v>1278</v>
      </c>
      <c r="B238" s="106" t="s">
        <v>768</v>
      </c>
      <c r="C238" s="33" t="s">
        <v>769</v>
      </c>
      <c r="D238" s="32" t="s">
        <v>559</v>
      </c>
      <c r="E238" s="32" t="s">
        <v>1279</v>
      </c>
      <c r="F238" s="34">
        <v>46273</v>
      </c>
      <c r="G238" s="34">
        <v>46301</v>
      </c>
      <c r="H238" s="32" t="s">
        <v>482</v>
      </c>
      <c r="I238" s="77" t="s">
        <v>66</v>
      </c>
      <c r="J238" s="286" t="s">
        <v>105</v>
      </c>
      <c r="K238" s="81">
        <v>7950</v>
      </c>
      <c r="L238" s="261">
        <v>180</v>
      </c>
      <c r="M238" s="223">
        <v>0</v>
      </c>
      <c r="N238" s="287">
        <f t="shared" si="16"/>
        <v>8130</v>
      </c>
      <c r="O238" s="155">
        <f t="shared" si="17"/>
        <v>8130</v>
      </c>
    </row>
    <row r="239" spans="1:18" ht="15" hidden="1" customHeight="1">
      <c r="A239" s="114" t="s">
        <v>1280</v>
      </c>
      <c r="B239" s="106" t="s">
        <v>856</v>
      </c>
      <c r="C239" s="33" t="s">
        <v>769</v>
      </c>
      <c r="D239" s="32" t="s">
        <v>559</v>
      </c>
      <c r="E239" s="32" t="s">
        <v>1281</v>
      </c>
      <c r="F239" s="34">
        <v>46264</v>
      </c>
      <c r="G239" s="34">
        <v>46295</v>
      </c>
      <c r="H239" s="32" t="s">
        <v>84</v>
      </c>
      <c r="I239" s="77" t="s">
        <v>621</v>
      </c>
      <c r="J239" s="286" t="s">
        <v>105</v>
      </c>
      <c r="K239" s="81">
        <v>7600</v>
      </c>
      <c r="L239" s="261">
        <v>180</v>
      </c>
      <c r="M239" s="223">
        <v>660</v>
      </c>
      <c r="N239" s="287">
        <f t="shared" si="16"/>
        <v>8440</v>
      </c>
      <c r="O239" s="155">
        <f>N239</f>
        <v>8440</v>
      </c>
    </row>
    <row r="240" spans="1:18" ht="15" hidden="1" customHeight="1">
      <c r="A240" s="114" t="s">
        <v>1282</v>
      </c>
      <c r="B240" s="106" t="s">
        <v>772</v>
      </c>
      <c r="C240" s="33" t="s">
        <v>769</v>
      </c>
      <c r="D240" s="32" t="s">
        <v>559</v>
      </c>
      <c r="E240" s="32" t="s">
        <v>1283</v>
      </c>
      <c r="F240" s="34">
        <v>46273</v>
      </c>
      <c r="G240" s="34">
        <v>46303</v>
      </c>
      <c r="H240" s="32" t="s">
        <v>149</v>
      </c>
      <c r="I240" s="77" t="s">
        <v>66</v>
      </c>
      <c r="J240" s="286" t="s">
        <v>105</v>
      </c>
      <c r="K240" s="81">
        <v>7650</v>
      </c>
      <c r="L240" s="261">
        <v>0</v>
      </c>
      <c r="M240" s="223">
        <v>0</v>
      </c>
      <c r="N240" s="287">
        <f t="shared" ref="N240:N248" si="18">SUM(K240:M240)</f>
        <v>7650</v>
      </c>
      <c r="O240" s="155">
        <f t="shared" ref="O240:O248" si="19">N240</f>
        <v>7650</v>
      </c>
    </row>
    <row r="241" spans="1:15" ht="15" hidden="1" customHeight="1">
      <c r="A241" s="114" t="s">
        <v>1284</v>
      </c>
      <c r="B241" s="106" t="s">
        <v>804</v>
      </c>
      <c r="C241" s="33" t="s">
        <v>769</v>
      </c>
      <c r="D241" s="32" t="s">
        <v>559</v>
      </c>
      <c r="E241" s="32" t="s">
        <v>1285</v>
      </c>
      <c r="F241" s="34">
        <v>46274</v>
      </c>
      <c r="G241" s="34">
        <v>46308</v>
      </c>
      <c r="H241" s="32" t="s">
        <v>89</v>
      </c>
      <c r="I241" s="77" t="s">
        <v>621</v>
      </c>
      <c r="J241" s="286" t="s">
        <v>105</v>
      </c>
      <c r="K241" s="81">
        <v>7650</v>
      </c>
      <c r="L241" s="261">
        <v>100</v>
      </c>
      <c r="M241" s="223">
        <v>0</v>
      </c>
      <c r="N241" s="287">
        <f t="shared" si="18"/>
        <v>7750</v>
      </c>
      <c r="O241" s="155">
        <f t="shared" si="19"/>
        <v>7750</v>
      </c>
    </row>
    <row r="242" spans="1:15" ht="15" hidden="1" customHeight="1">
      <c r="A242" s="114" t="s">
        <v>1286</v>
      </c>
      <c r="B242" s="106" t="s">
        <v>822</v>
      </c>
      <c r="C242" s="33" t="s">
        <v>769</v>
      </c>
      <c r="D242" s="32" t="s">
        <v>559</v>
      </c>
      <c r="E242" s="32" t="s">
        <v>1287</v>
      </c>
      <c r="F242" s="34">
        <v>46264</v>
      </c>
      <c r="G242" s="34">
        <v>46302</v>
      </c>
      <c r="H242" s="32" t="s">
        <v>84</v>
      </c>
      <c r="I242" s="77" t="s">
        <v>621</v>
      </c>
      <c r="J242" s="286" t="s">
        <v>105</v>
      </c>
      <c r="K242" s="81">
        <v>7600</v>
      </c>
      <c r="L242" s="261">
        <v>0</v>
      </c>
      <c r="M242" s="223">
        <v>0</v>
      </c>
      <c r="N242" s="287">
        <f t="shared" si="18"/>
        <v>7600</v>
      </c>
      <c r="O242" s="155">
        <f t="shared" si="19"/>
        <v>7600</v>
      </c>
    </row>
    <row r="243" spans="1:15" ht="15" customHeight="1">
      <c r="A243" s="114" t="s">
        <v>1288</v>
      </c>
      <c r="B243" s="106" t="s">
        <v>986</v>
      </c>
      <c r="C243" s="33" t="s">
        <v>769</v>
      </c>
      <c r="D243" s="32" t="s">
        <v>559</v>
      </c>
      <c r="E243" s="32" t="s">
        <v>1289</v>
      </c>
      <c r="F243" s="34">
        <v>46274</v>
      </c>
      <c r="G243" s="34">
        <v>46308</v>
      </c>
      <c r="H243" s="32" t="s">
        <v>89</v>
      </c>
      <c r="I243" s="77" t="s">
        <v>621</v>
      </c>
      <c r="J243" s="286" t="s">
        <v>105</v>
      </c>
      <c r="K243" s="81">
        <v>7650</v>
      </c>
      <c r="L243" s="261">
        <v>180</v>
      </c>
      <c r="M243" s="223">
        <v>0</v>
      </c>
      <c r="N243" s="287">
        <f t="shared" si="18"/>
        <v>7830</v>
      </c>
      <c r="O243" s="155">
        <f t="shared" si="19"/>
        <v>7830</v>
      </c>
    </row>
    <row r="244" spans="1:15" ht="15" customHeight="1">
      <c r="A244" s="114" t="s">
        <v>1290</v>
      </c>
      <c r="B244" s="106" t="s">
        <v>986</v>
      </c>
      <c r="C244" s="33" t="s">
        <v>769</v>
      </c>
      <c r="D244" s="32" t="s">
        <v>559</v>
      </c>
      <c r="E244" s="32" t="s">
        <v>1291</v>
      </c>
      <c r="F244" s="34">
        <v>46281</v>
      </c>
      <c r="G244" s="34">
        <v>46315</v>
      </c>
      <c r="H244" s="32" t="s">
        <v>89</v>
      </c>
      <c r="I244" s="77" t="s">
        <v>621</v>
      </c>
      <c r="J244" s="286" t="s">
        <v>105</v>
      </c>
      <c r="K244" s="81">
        <v>7250</v>
      </c>
      <c r="L244" s="261">
        <v>180</v>
      </c>
      <c r="M244" s="223">
        <v>0</v>
      </c>
      <c r="N244" s="287">
        <f t="shared" si="18"/>
        <v>7430</v>
      </c>
      <c r="O244" s="155">
        <f t="shared" si="19"/>
        <v>7430</v>
      </c>
    </row>
    <row r="245" spans="1:15" ht="15" hidden="1" customHeight="1">
      <c r="A245" s="114" t="s">
        <v>1292</v>
      </c>
      <c r="B245" s="106" t="s">
        <v>851</v>
      </c>
      <c r="C245" s="33" t="s">
        <v>769</v>
      </c>
      <c r="D245" s="32" t="s">
        <v>559</v>
      </c>
      <c r="E245" s="32" t="s">
        <v>1293</v>
      </c>
      <c r="F245" s="34">
        <v>46274</v>
      </c>
      <c r="G245" s="34">
        <v>46308</v>
      </c>
      <c r="H245" s="32" t="s">
        <v>89</v>
      </c>
      <c r="I245" s="77" t="s">
        <v>621</v>
      </c>
      <c r="J245" s="286" t="s">
        <v>105</v>
      </c>
      <c r="K245" s="81">
        <v>7650</v>
      </c>
      <c r="L245" s="261">
        <v>100</v>
      </c>
      <c r="M245" s="223">
        <v>0</v>
      </c>
      <c r="N245" s="287">
        <f t="shared" si="18"/>
        <v>7750</v>
      </c>
      <c r="O245" s="155">
        <f t="shared" si="19"/>
        <v>7750</v>
      </c>
    </row>
    <row r="246" spans="1:15" ht="15" hidden="1" customHeight="1">
      <c r="A246" s="114" t="s">
        <v>1294</v>
      </c>
      <c r="B246" s="106" t="s">
        <v>851</v>
      </c>
      <c r="C246" s="33" t="s">
        <v>769</v>
      </c>
      <c r="D246" s="32" t="s">
        <v>559</v>
      </c>
      <c r="E246" s="32" t="s">
        <v>1295</v>
      </c>
      <c r="F246" s="34">
        <v>46281</v>
      </c>
      <c r="G246" s="34">
        <v>46315</v>
      </c>
      <c r="H246" s="32" t="s">
        <v>89</v>
      </c>
      <c r="I246" s="77" t="s">
        <v>621</v>
      </c>
      <c r="J246" s="286" t="s">
        <v>105</v>
      </c>
      <c r="K246" s="81">
        <v>7250</v>
      </c>
      <c r="L246" s="261">
        <v>100</v>
      </c>
      <c r="M246" s="223">
        <v>0</v>
      </c>
      <c r="N246" s="287">
        <f t="shared" si="18"/>
        <v>7350</v>
      </c>
      <c r="O246" s="155">
        <f t="shared" si="19"/>
        <v>7350</v>
      </c>
    </row>
    <row r="247" spans="1:15" ht="15" hidden="1" customHeight="1">
      <c r="A247" s="114" t="s">
        <v>1296</v>
      </c>
      <c r="B247" s="106" t="s">
        <v>1077</v>
      </c>
      <c r="C247" s="33" t="s">
        <v>769</v>
      </c>
      <c r="D247" s="32" t="s">
        <v>559</v>
      </c>
      <c r="E247" s="32" t="s">
        <v>1297</v>
      </c>
      <c r="F247" s="34">
        <v>46281</v>
      </c>
      <c r="G247" s="34">
        <v>46315</v>
      </c>
      <c r="H247" s="32" t="s">
        <v>89</v>
      </c>
      <c r="I247" s="77" t="s">
        <v>621</v>
      </c>
      <c r="J247" s="286" t="s">
        <v>105</v>
      </c>
      <c r="K247" s="81">
        <v>7250</v>
      </c>
      <c r="L247" s="261">
        <v>0</v>
      </c>
      <c r="M247" s="223">
        <v>0</v>
      </c>
      <c r="N247" s="287">
        <f t="shared" si="18"/>
        <v>7250</v>
      </c>
      <c r="O247" s="155">
        <f t="shared" si="19"/>
        <v>7250</v>
      </c>
    </row>
    <row r="248" spans="1:15" ht="15" hidden="1" customHeight="1">
      <c r="A248" s="114" t="s">
        <v>1298</v>
      </c>
      <c r="B248" s="106" t="s">
        <v>1077</v>
      </c>
      <c r="C248" s="33" t="s">
        <v>769</v>
      </c>
      <c r="D248" s="32" t="s">
        <v>559</v>
      </c>
      <c r="E248" s="32" t="s">
        <v>1299</v>
      </c>
      <c r="F248" s="34">
        <v>46281</v>
      </c>
      <c r="G248" s="34">
        <v>46315</v>
      </c>
      <c r="H248" s="32" t="s">
        <v>89</v>
      </c>
      <c r="I248" s="77" t="s">
        <v>621</v>
      </c>
      <c r="J248" s="286" t="s">
        <v>105</v>
      </c>
      <c r="K248" s="81">
        <v>7250</v>
      </c>
      <c r="L248" s="261">
        <v>0</v>
      </c>
      <c r="M248" s="223">
        <v>0</v>
      </c>
      <c r="N248" s="287">
        <f t="shared" si="18"/>
        <v>7250</v>
      </c>
      <c r="O248" s="155">
        <f t="shared" si="19"/>
        <v>7250</v>
      </c>
    </row>
    <row r="249" spans="1:15" ht="15" hidden="1" customHeight="1">
      <c r="A249" s="114" t="s">
        <v>1300</v>
      </c>
      <c r="B249" s="106" t="s">
        <v>804</v>
      </c>
      <c r="C249" s="33" t="s">
        <v>769</v>
      </c>
      <c r="D249" s="32" t="s">
        <v>559</v>
      </c>
      <c r="E249" s="32" t="s">
        <v>1301</v>
      </c>
      <c r="F249" s="34">
        <v>46278</v>
      </c>
      <c r="G249" s="34">
        <v>46310</v>
      </c>
      <c r="H249" s="32" t="s">
        <v>482</v>
      </c>
      <c r="I249" s="77" t="s">
        <v>85</v>
      </c>
      <c r="J249" s="286" t="s">
        <v>105</v>
      </c>
      <c r="K249" s="81">
        <v>7350</v>
      </c>
      <c r="L249" s="261">
        <v>100</v>
      </c>
      <c r="M249" s="223">
        <v>0</v>
      </c>
      <c r="N249" s="287">
        <f t="shared" ref="N249:N262" si="20">SUM(K249:M249)</f>
        <v>7450</v>
      </c>
      <c r="O249" s="155">
        <f t="shared" ref="O249:O262" si="21">N249</f>
        <v>7450</v>
      </c>
    </row>
    <row r="250" spans="1:15" ht="15" hidden="1" customHeight="1">
      <c r="A250" s="114" t="s">
        <v>1302</v>
      </c>
      <c r="B250" s="106" t="s">
        <v>999</v>
      </c>
      <c r="C250" s="33" t="s">
        <v>769</v>
      </c>
      <c r="D250" s="32" t="s">
        <v>559</v>
      </c>
      <c r="E250" s="32" t="s">
        <v>1303</v>
      </c>
      <c r="F250" s="34">
        <v>46289</v>
      </c>
      <c r="G250" s="34">
        <v>46323</v>
      </c>
      <c r="H250" s="32" t="s">
        <v>84</v>
      </c>
      <c r="I250" s="77" t="s">
        <v>1149</v>
      </c>
      <c r="J250" s="286" t="s">
        <v>105</v>
      </c>
      <c r="K250" s="81">
        <v>6200</v>
      </c>
      <c r="L250" s="261">
        <v>280</v>
      </c>
      <c r="M250" s="223">
        <v>0</v>
      </c>
      <c r="N250" s="287">
        <f t="shared" si="20"/>
        <v>6480</v>
      </c>
      <c r="O250" s="155">
        <f t="shared" si="21"/>
        <v>6480</v>
      </c>
    </row>
    <row r="251" spans="1:15" ht="15" hidden="1" customHeight="1">
      <c r="A251" s="114" t="s">
        <v>1304</v>
      </c>
      <c r="B251" s="106" t="s">
        <v>999</v>
      </c>
      <c r="C251" s="33" t="s">
        <v>769</v>
      </c>
      <c r="D251" s="32" t="s">
        <v>559</v>
      </c>
      <c r="E251" s="32" t="s">
        <v>1305</v>
      </c>
      <c r="F251" s="34">
        <v>46276</v>
      </c>
      <c r="G251" s="34">
        <v>46308</v>
      </c>
      <c r="H251" s="32" t="s">
        <v>65</v>
      </c>
      <c r="I251" s="77" t="s">
        <v>1306</v>
      </c>
      <c r="J251" s="286" t="s">
        <v>105</v>
      </c>
      <c r="K251" s="81">
        <v>7150</v>
      </c>
      <c r="L251" s="261">
        <v>280</v>
      </c>
      <c r="M251" s="223">
        <v>0</v>
      </c>
      <c r="N251" s="287">
        <f t="shared" si="20"/>
        <v>7430</v>
      </c>
      <c r="O251" s="155">
        <f t="shared" si="21"/>
        <v>7430</v>
      </c>
    </row>
    <row r="252" spans="1:15" ht="15" customHeight="1">
      <c r="A252" s="114" t="s">
        <v>1307</v>
      </c>
      <c r="B252" s="106" t="s">
        <v>1258</v>
      </c>
      <c r="C252" s="33" t="s">
        <v>769</v>
      </c>
      <c r="D252" s="32" t="s">
        <v>559</v>
      </c>
      <c r="E252" s="32" t="s">
        <v>1308</v>
      </c>
      <c r="F252" s="34">
        <v>46274</v>
      </c>
      <c r="G252" s="34">
        <v>46316</v>
      </c>
      <c r="H252" s="32" t="s">
        <v>84</v>
      </c>
      <c r="I252" s="77" t="s">
        <v>1309</v>
      </c>
      <c r="J252" s="286" t="s">
        <v>105</v>
      </c>
      <c r="K252" s="81">
        <v>8300</v>
      </c>
      <c r="L252" s="261">
        <v>0</v>
      </c>
      <c r="M252" s="223">
        <v>0</v>
      </c>
      <c r="N252" s="287">
        <f t="shared" si="20"/>
        <v>8300</v>
      </c>
      <c r="O252" s="155">
        <f t="shared" si="21"/>
        <v>8300</v>
      </c>
    </row>
    <row r="253" spans="1:15" ht="15" customHeight="1">
      <c r="A253" s="114" t="s">
        <v>1310</v>
      </c>
      <c r="B253" s="106" t="s">
        <v>1258</v>
      </c>
      <c r="C253" s="33" t="s">
        <v>769</v>
      </c>
      <c r="D253" s="32" t="s">
        <v>559</v>
      </c>
      <c r="E253" s="32" t="s">
        <v>1311</v>
      </c>
      <c r="F253" s="34">
        <v>46274</v>
      </c>
      <c r="G253" s="34">
        <v>46316</v>
      </c>
      <c r="H253" s="32" t="s">
        <v>84</v>
      </c>
      <c r="I253" s="77" t="s">
        <v>1309</v>
      </c>
      <c r="J253" s="286" t="s">
        <v>105</v>
      </c>
      <c r="K253" s="81">
        <v>8300</v>
      </c>
      <c r="L253" s="261">
        <v>0</v>
      </c>
      <c r="M253" s="223">
        <v>0</v>
      </c>
      <c r="N253" s="287">
        <f t="shared" si="20"/>
        <v>8300</v>
      </c>
      <c r="O253" s="155">
        <f t="shared" si="21"/>
        <v>8300</v>
      </c>
    </row>
    <row r="254" spans="1:15" ht="15" customHeight="1">
      <c r="A254" s="114" t="s">
        <v>1312</v>
      </c>
      <c r="B254" s="106" t="s">
        <v>1258</v>
      </c>
      <c r="C254" s="33" t="s">
        <v>769</v>
      </c>
      <c r="D254" s="32" t="s">
        <v>559</v>
      </c>
      <c r="E254" s="32" t="s">
        <v>1313</v>
      </c>
      <c r="F254" s="34">
        <v>46281</v>
      </c>
      <c r="G254" s="34">
        <v>46310</v>
      </c>
      <c r="H254" s="32" t="s">
        <v>100</v>
      </c>
      <c r="I254" s="77" t="s">
        <v>66</v>
      </c>
      <c r="J254" s="286" t="s">
        <v>105</v>
      </c>
      <c r="K254" s="81">
        <v>7200</v>
      </c>
      <c r="L254" s="261">
        <v>0</v>
      </c>
      <c r="M254" s="223">
        <v>0</v>
      </c>
      <c r="N254" s="287">
        <f t="shared" si="20"/>
        <v>7200</v>
      </c>
      <c r="O254" s="155">
        <f t="shared" si="21"/>
        <v>7200</v>
      </c>
    </row>
    <row r="255" spans="1:15" ht="15" customHeight="1">
      <c r="A255" s="114" t="s">
        <v>1314</v>
      </c>
      <c r="B255" s="106" t="s">
        <v>872</v>
      </c>
      <c r="C255" s="33" t="s">
        <v>769</v>
      </c>
      <c r="D255" s="32" t="s">
        <v>559</v>
      </c>
      <c r="E255" s="32" t="s">
        <v>1315</v>
      </c>
      <c r="F255" s="34">
        <v>46281</v>
      </c>
      <c r="G255" s="34">
        <v>46310</v>
      </c>
      <c r="H255" s="32" t="s">
        <v>100</v>
      </c>
      <c r="I255" s="77" t="s">
        <v>66</v>
      </c>
      <c r="J255" s="286" t="s">
        <v>105</v>
      </c>
      <c r="K255" s="81">
        <v>7200</v>
      </c>
      <c r="L255" s="261">
        <v>180</v>
      </c>
      <c r="M255" s="223">
        <v>0</v>
      </c>
      <c r="N255" s="287">
        <f t="shared" si="20"/>
        <v>7380</v>
      </c>
      <c r="O255" s="155">
        <f t="shared" si="21"/>
        <v>7380</v>
      </c>
    </row>
    <row r="256" spans="1:15" ht="15" hidden="1" customHeight="1">
      <c r="A256" s="114" t="s">
        <v>1316</v>
      </c>
      <c r="B256" s="106" t="s">
        <v>768</v>
      </c>
      <c r="C256" s="33" t="s">
        <v>769</v>
      </c>
      <c r="D256" s="32" t="s">
        <v>559</v>
      </c>
      <c r="E256" s="32" t="s">
        <v>1317</v>
      </c>
      <c r="F256" s="34">
        <v>46257</v>
      </c>
      <c r="G256" s="34">
        <v>46311</v>
      </c>
      <c r="H256" s="32" t="s">
        <v>84</v>
      </c>
      <c r="I256" s="77" t="s">
        <v>85</v>
      </c>
      <c r="J256" s="286" t="s">
        <v>105</v>
      </c>
      <c r="K256" s="81">
        <v>7950</v>
      </c>
      <c r="L256" s="261">
        <v>180</v>
      </c>
      <c r="M256" s="223">
        <v>0</v>
      </c>
      <c r="N256" s="287">
        <f t="shared" si="20"/>
        <v>8130</v>
      </c>
      <c r="O256" s="155">
        <f t="shared" si="21"/>
        <v>8130</v>
      </c>
    </row>
    <row r="257" spans="1:15" ht="15" hidden="1" customHeight="1">
      <c r="A257" s="114" t="s">
        <v>1318</v>
      </c>
      <c r="B257" s="106" t="s">
        <v>768</v>
      </c>
      <c r="C257" s="33" t="s">
        <v>769</v>
      </c>
      <c r="D257" s="32" t="s">
        <v>559</v>
      </c>
      <c r="E257" s="32" t="s">
        <v>1319</v>
      </c>
      <c r="F257" s="34">
        <v>46257</v>
      </c>
      <c r="G257" s="34">
        <v>46311</v>
      </c>
      <c r="H257" s="32" t="s">
        <v>84</v>
      </c>
      <c r="I257" s="77" t="s">
        <v>85</v>
      </c>
      <c r="J257" s="286" t="s">
        <v>105</v>
      </c>
      <c r="K257" s="81">
        <v>7950</v>
      </c>
      <c r="L257" s="261">
        <v>180</v>
      </c>
      <c r="M257" s="223">
        <v>0</v>
      </c>
      <c r="N257" s="287">
        <f t="shared" si="20"/>
        <v>8130</v>
      </c>
      <c r="O257" s="155">
        <f t="shared" si="21"/>
        <v>8130</v>
      </c>
    </row>
    <row r="258" spans="1:15" ht="15" hidden="1" customHeight="1">
      <c r="A258" s="114" t="s">
        <v>1320</v>
      </c>
      <c r="B258" s="106" t="s">
        <v>768</v>
      </c>
      <c r="C258" s="33" t="s">
        <v>769</v>
      </c>
      <c r="D258" s="32" t="s">
        <v>559</v>
      </c>
      <c r="E258" s="32" t="s">
        <v>1321</v>
      </c>
      <c r="F258" s="34">
        <v>46283</v>
      </c>
      <c r="G258" s="34">
        <v>46318</v>
      </c>
      <c r="H258" s="32" t="s">
        <v>89</v>
      </c>
      <c r="I258" s="77" t="s">
        <v>648</v>
      </c>
      <c r="J258" s="286" t="s">
        <v>105</v>
      </c>
      <c r="K258" s="81">
        <v>7250</v>
      </c>
      <c r="L258" s="261">
        <v>180</v>
      </c>
      <c r="M258" s="223">
        <v>0</v>
      </c>
      <c r="N258" s="287">
        <f t="shared" si="20"/>
        <v>7430</v>
      </c>
      <c r="O258" s="155">
        <f t="shared" si="21"/>
        <v>7430</v>
      </c>
    </row>
    <row r="259" spans="1:15" ht="15" hidden="1" customHeight="1">
      <c r="A259" s="114" t="s">
        <v>1322</v>
      </c>
      <c r="B259" s="106" t="s">
        <v>768</v>
      </c>
      <c r="C259" s="33" t="s">
        <v>769</v>
      </c>
      <c r="D259" s="32" t="s">
        <v>559</v>
      </c>
      <c r="E259" s="32" t="s">
        <v>1323</v>
      </c>
      <c r="F259" s="34">
        <v>46287</v>
      </c>
      <c r="G259" s="34">
        <v>46315</v>
      </c>
      <c r="H259" s="32" t="s">
        <v>482</v>
      </c>
      <c r="I259" s="77" t="s">
        <v>66</v>
      </c>
      <c r="J259" s="286" t="s">
        <v>105</v>
      </c>
      <c r="K259" s="81">
        <v>6250</v>
      </c>
      <c r="L259" s="261">
        <v>180</v>
      </c>
      <c r="M259" s="223">
        <v>0</v>
      </c>
      <c r="N259" s="287">
        <f t="shared" si="20"/>
        <v>6430</v>
      </c>
      <c r="O259" s="155">
        <f t="shared" si="21"/>
        <v>6430</v>
      </c>
    </row>
    <row r="260" spans="1:15" ht="15" hidden="1" customHeight="1">
      <c r="A260" s="114" t="s">
        <v>1324</v>
      </c>
      <c r="B260" s="106" t="s">
        <v>768</v>
      </c>
      <c r="C260" s="33" t="s">
        <v>769</v>
      </c>
      <c r="D260" s="32" t="s">
        <v>559</v>
      </c>
      <c r="E260" s="32" t="s">
        <v>1325</v>
      </c>
      <c r="F260" s="34">
        <v>46283</v>
      </c>
      <c r="G260" s="34">
        <v>46318</v>
      </c>
      <c r="H260" s="32" t="s">
        <v>89</v>
      </c>
      <c r="I260" s="77" t="s">
        <v>240</v>
      </c>
      <c r="J260" s="286" t="s">
        <v>105</v>
      </c>
      <c r="K260" s="81">
        <v>7250</v>
      </c>
      <c r="L260" s="261">
        <v>180</v>
      </c>
      <c r="M260" s="223">
        <v>0</v>
      </c>
      <c r="N260" s="287">
        <f t="shared" si="20"/>
        <v>7430</v>
      </c>
      <c r="O260" s="155">
        <f t="shared" si="21"/>
        <v>7430</v>
      </c>
    </row>
    <row r="261" spans="1:15" ht="15" hidden="1" customHeight="1">
      <c r="A261" s="114" t="s">
        <v>1326</v>
      </c>
      <c r="B261" s="106" t="s">
        <v>768</v>
      </c>
      <c r="C261" s="33" t="s">
        <v>769</v>
      </c>
      <c r="D261" s="32" t="s">
        <v>559</v>
      </c>
      <c r="E261" s="32" t="s">
        <v>1327</v>
      </c>
      <c r="F261" s="34">
        <v>46287</v>
      </c>
      <c r="G261" s="34">
        <v>46315</v>
      </c>
      <c r="H261" s="32" t="s">
        <v>482</v>
      </c>
      <c r="I261" s="77" t="s">
        <v>66</v>
      </c>
      <c r="J261" s="286" t="s">
        <v>105</v>
      </c>
      <c r="K261" s="81">
        <v>6250</v>
      </c>
      <c r="L261" s="261">
        <v>180</v>
      </c>
      <c r="M261" s="223">
        <v>0</v>
      </c>
      <c r="N261" s="287">
        <f t="shared" si="20"/>
        <v>6430</v>
      </c>
      <c r="O261" s="155">
        <f t="shared" si="21"/>
        <v>6430</v>
      </c>
    </row>
    <row r="262" spans="1:15" ht="15" hidden="1" customHeight="1">
      <c r="A262" s="114" t="s">
        <v>1328</v>
      </c>
      <c r="B262" s="106" t="s">
        <v>768</v>
      </c>
      <c r="C262" s="33" t="s">
        <v>769</v>
      </c>
      <c r="D262" s="32" t="s">
        <v>559</v>
      </c>
      <c r="E262" s="32" t="s">
        <v>1329</v>
      </c>
      <c r="F262" s="34">
        <v>46291</v>
      </c>
      <c r="G262" s="34">
        <v>46312</v>
      </c>
      <c r="H262" s="32" t="s">
        <v>1213</v>
      </c>
      <c r="I262" s="77" t="s">
        <v>66</v>
      </c>
      <c r="J262" s="286" t="s">
        <v>105</v>
      </c>
      <c r="K262" s="81">
        <v>6150</v>
      </c>
      <c r="L262" s="261">
        <v>180</v>
      </c>
      <c r="M262" s="223">
        <v>0</v>
      </c>
      <c r="N262" s="287">
        <f t="shared" si="20"/>
        <v>6330</v>
      </c>
      <c r="O262" s="155">
        <f t="shared" si="21"/>
        <v>6330</v>
      </c>
    </row>
    <row r="263" spans="1:15" ht="15" hidden="1" customHeight="1">
      <c r="A263" s="429" t="s">
        <v>1330</v>
      </c>
      <c r="B263" s="423" t="s">
        <v>1207</v>
      </c>
      <c r="C263" s="424" t="s">
        <v>1331</v>
      </c>
      <c r="D263" s="425" t="s">
        <v>559</v>
      </c>
      <c r="E263" s="425" t="s">
        <v>1332</v>
      </c>
      <c r="F263" s="426">
        <v>46298</v>
      </c>
      <c r="G263" s="426">
        <v>46320</v>
      </c>
      <c r="H263" s="425" t="s">
        <v>1213</v>
      </c>
      <c r="I263" s="430" t="s">
        <v>85</v>
      </c>
      <c r="J263" s="431" t="s">
        <v>105</v>
      </c>
      <c r="K263" s="432">
        <v>6150</v>
      </c>
      <c r="L263" s="414">
        <v>180</v>
      </c>
      <c r="M263" s="415">
        <v>0</v>
      </c>
      <c r="N263" s="416">
        <f t="shared" ref="N263:N273" si="22">SUM(K263:M263)</f>
        <v>6330</v>
      </c>
      <c r="O263" s="417">
        <f t="shared" ref="O263:O273" si="23">N263</f>
        <v>6330</v>
      </c>
    </row>
    <row r="264" spans="1:15" ht="15" customHeight="1">
      <c r="A264" s="429" t="s">
        <v>1333</v>
      </c>
      <c r="B264" s="423" t="s">
        <v>1258</v>
      </c>
      <c r="C264" s="424" t="s">
        <v>769</v>
      </c>
      <c r="D264" s="425" t="s">
        <v>559</v>
      </c>
      <c r="E264" s="425" t="s">
        <v>1334</v>
      </c>
      <c r="F264" s="426">
        <v>46297</v>
      </c>
      <c r="G264" s="426">
        <v>46323</v>
      </c>
      <c r="H264" s="425" t="s">
        <v>89</v>
      </c>
      <c r="I264" s="430" t="s">
        <v>66</v>
      </c>
      <c r="J264" s="431" t="s">
        <v>105</v>
      </c>
      <c r="K264" s="432">
        <v>6150</v>
      </c>
      <c r="L264" s="414">
        <v>0</v>
      </c>
      <c r="M264" s="415">
        <v>0</v>
      </c>
      <c r="N264" s="416">
        <f t="shared" si="22"/>
        <v>6150</v>
      </c>
      <c r="O264" s="417">
        <f t="shared" si="23"/>
        <v>6150</v>
      </c>
    </row>
    <row r="265" spans="1:15" ht="15" customHeight="1">
      <c r="A265" s="429" t="s">
        <v>1335</v>
      </c>
      <c r="B265" s="423" t="s">
        <v>1258</v>
      </c>
      <c r="C265" s="424" t="s">
        <v>769</v>
      </c>
      <c r="D265" s="425" t="s">
        <v>559</v>
      </c>
      <c r="E265" s="425" t="s">
        <v>1336</v>
      </c>
      <c r="F265" s="426">
        <v>46294</v>
      </c>
      <c r="G265" s="426">
        <v>46323</v>
      </c>
      <c r="H265" s="425" t="s">
        <v>84</v>
      </c>
      <c r="I265" s="430" t="s">
        <v>66</v>
      </c>
      <c r="J265" s="431" t="s">
        <v>105</v>
      </c>
      <c r="K265" s="432">
        <v>5200</v>
      </c>
      <c r="L265" s="414">
        <v>0</v>
      </c>
      <c r="M265" s="415">
        <v>0</v>
      </c>
      <c r="N265" s="416">
        <f t="shared" si="22"/>
        <v>5200</v>
      </c>
      <c r="O265" s="417">
        <f t="shared" si="23"/>
        <v>5200</v>
      </c>
    </row>
    <row r="266" spans="1:15" ht="15" customHeight="1">
      <c r="A266" s="429" t="s">
        <v>1337</v>
      </c>
      <c r="B266" s="423" t="s">
        <v>1258</v>
      </c>
      <c r="C266" s="424" t="s">
        <v>769</v>
      </c>
      <c r="D266" s="425" t="s">
        <v>559</v>
      </c>
      <c r="E266" s="425" t="s">
        <v>1338</v>
      </c>
      <c r="F266" s="426">
        <v>46297</v>
      </c>
      <c r="G266" s="426">
        <v>46320</v>
      </c>
      <c r="H266" s="425" t="s">
        <v>1175</v>
      </c>
      <c r="I266" s="430" t="s">
        <v>316</v>
      </c>
      <c r="J266" s="431" t="s">
        <v>105</v>
      </c>
      <c r="K266" s="432">
        <v>6000</v>
      </c>
      <c r="L266" s="414">
        <v>180</v>
      </c>
      <c r="M266" s="415">
        <v>0</v>
      </c>
      <c r="N266" s="416">
        <f t="shared" si="22"/>
        <v>6180</v>
      </c>
      <c r="O266" s="417">
        <f t="shared" si="23"/>
        <v>6180</v>
      </c>
    </row>
    <row r="267" spans="1:15" ht="15" hidden="1" customHeight="1">
      <c r="A267" s="429" t="s">
        <v>1339</v>
      </c>
      <c r="B267" s="423" t="s">
        <v>768</v>
      </c>
      <c r="C267" s="424" t="s">
        <v>769</v>
      </c>
      <c r="D267" s="425" t="s">
        <v>559</v>
      </c>
      <c r="E267" s="425" t="s">
        <v>1340</v>
      </c>
      <c r="F267" s="426">
        <v>46291</v>
      </c>
      <c r="G267" s="426">
        <v>46330</v>
      </c>
      <c r="H267" s="425" t="s">
        <v>84</v>
      </c>
      <c r="I267" s="430" t="s">
        <v>645</v>
      </c>
      <c r="J267" s="431" t="s">
        <v>105</v>
      </c>
      <c r="K267" s="432">
        <v>5900</v>
      </c>
      <c r="L267" s="414">
        <v>180</v>
      </c>
      <c r="M267" s="415">
        <v>0</v>
      </c>
      <c r="N267" s="416">
        <f t="shared" si="22"/>
        <v>6080</v>
      </c>
      <c r="O267" s="417">
        <f t="shared" si="23"/>
        <v>6080</v>
      </c>
    </row>
    <row r="268" spans="1:15" ht="15" customHeight="1">
      <c r="A268" s="429" t="s">
        <v>1341</v>
      </c>
      <c r="B268" s="423" t="s">
        <v>1342</v>
      </c>
      <c r="C268" s="424" t="s">
        <v>769</v>
      </c>
      <c r="D268" s="425" t="s">
        <v>559</v>
      </c>
      <c r="E268" s="425" t="s">
        <v>1343</v>
      </c>
      <c r="F268" s="426">
        <v>46288</v>
      </c>
      <c r="G268" s="426">
        <v>46322</v>
      </c>
      <c r="H268" s="425" t="s">
        <v>89</v>
      </c>
      <c r="I268" s="430" t="s">
        <v>621</v>
      </c>
      <c r="J268" s="431" t="s">
        <v>105</v>
      </c>
      <c r="K268" s="432">
        <v>6150</v>
      </c>
      <c r="L268" s="414">
        <v>180</v>
      </c>
      <c r="M268" s="415">
        <v>0</v>
      </c>
      <c r="N268" s="416">
        <f t="shared" si="22"/>
        <v>6330</v>
      </c>
      <c r="O268" s="417">
        <f t="shared" si="23"/>
        <v>6330</v>
      </c>
    </row>
    <row r="269" spans="1:15" ht="15" hidden="1" customHeight="1">
      <c r="A269" s="429" t="s">
        <v>1344</v>
      </c>
      <c r="B269" s="423" t="s">
        <v>1077</v>
      </c>
      <c r="C269" s="424" t="s">
        <v>769</v>
      </c>
      <c r="D269" s="425" t="s">
        <v>559</v>
      </c>
      <c r="E269" s="425" t="s">
        <v>1345</v>
      </c>
      <c r="F269" s="426">
        <v>46278</v>
      </c>
      <c r="G269" s="426">
        <v>46320</v>
      </c>
      <c r="H269" s="425" t="s">
        <v>89</v>
      </c>
      <c r="I269" s="430" t="s">
        <v>316</v>
      </c>
      <c r="J269" s="431" t="s">
        <v>105</v>
      </c>
      <c r="K269" s="432">
        <v>7250</v>
      </c>
      <c r="L269" s="414">
        <v>0</v>
      </c>
      <c r="M269" s="415">
        <v>0</v>
      </c>
      <c r="N269" s="416">
        <f t="shared" si="22"/>
        <v>7250</v>
      </c>
      <c r="O269" s="417">
        <f t="shared" si="23"/>
        <v>7250</v>
      </c>
    </row>
    <row r="270" spans="1:15" ht="15" hidden="1" customHeight="1">
      <c r="A270" s="429" t="s">
        <v>1346</v>
      </c>
      <c r="B270" s="423" t="s">
        <v>804</v>
      </c>
      <c r="C270" s="424" t="s">
        <v>769</v>
      </c>
      <c r="D270" s="425" t="s">
        <v>559</v>
      </c>
      <c r="E270" s="425" t="s">
        <v>1347</v>
      </c>
      <c r="F270" s="426">
        <v>46295</v>
      </c>
      <c r="G270" s="426">
        <v>46331</v>
      </c>
      <c r="H270" s="425" t="s">
        <v>89</v>
      </c>
      <c r="I270" s="430" t="s">
        <v>621</v>
      </c>
      <c r="J270" s="431" t="s">
        <v>105</v>
      </c>
      <c r="K270" s="432">
        <v>5850</v>
      </c>
      <c r="L270" s="414">
        <v>100</v>
      </c>
      <c r="M270" s="415">
        <v>0</v>
      </c>
      <c r="N270" s="416">
        <f t="shared" si="22"/>
        <v>5950</v>
      </c>
      <c r="O270" s="417">
        <f t="shared" si="23"/>
        <v>5950</v>
      </c>
    </row>
    <row r="271" spans="1:15" ht="15" hidden="1" customHeight="1">
      <c r="A271" s="429" t="s">
        <v>1348</v>
      </c>
      <c r="B271" s="423" t="s">
        <v>804</v>
      </c>
      <c r="C271" s="424" t="s">
        <v>769</v>
      </c>
      <c r="D271" s="425" t="s">
        <v>559</v>
      </c>
      <c r="E271" s="425" t="s">
        <v>1349</v>
      </c>
      <c r="F271" s="426">
        <v>46295</v>
      </c>
      <c r="G271" s="426">
        <v>46331</v>
      </c>
      <c r="H271" s="425" t="s">
        <v>89</v>
      </c>
      <c r="I271" s="430" t="s">
        <v>621</v>
      </c>
      <c r="J271" s="431" t="s">
        <v>105</v>
      </c>
      <c r="K271" s="432">
        <v>5850</v>
      </c>
      <c r="L271" s="414">
        <v>100</v>
      </c>
      <c r="M271" s="415">
        <v>0</v>
      </c>
      <c r="N271" s="416">
        <f t="shared" si="22"/>
        <v>5950</v>
      </c>
      <c r="O271" s="417">
        <f t="shared" si="23"/>
        <v>5950</v>
      </c>
    </row>
    <row r="272" spans="1:15" ht="15" hidden="1" customHeight="1">
      <c r="A272" s="429" t="s">
        <v>1350</v>
      </c>
      <c r="B272" s="423" t="s">
        <v>1271</v>
      </c>
      <c r="C272" s="424" t="s">
        <v>6</v>
      </c>
      <c r="D272" s="425" t="s">
        <v>559</v>
      </c>
      <c r="E272" s="425" t="s">
        <v>1351</v>
      </c>
      <c r="F272" s="426">
        <v>46297</v>
      </c>
      <c r="G272" s="426">
        <v>46322</v>
      </c>
      <c r="H272" s="425" t="s">
        <v>482</v>
      </c>
      <c r="I272" s="430" t="s">
        <v>85</v>
      </c>
      <c r="J272" s="431" t="s">
        <v>105</v>
      </c>
      <c r="K272" s="432">
        <v>6050</v>
      </c>
      <c r="L272" s="414">
        <v>0</v>
      </c>
      <c r="M272" s="415">
        <v>0</v>
      </c>
      <c r="N272" s="416">
        <f t="shared" si="22"/>
        <v>6050</v>
      </c>
      <c r="O272" s="417">
        <f t="shared" si="23"/>
        <v>6050</v>
      </c>
    </row>
    <row r="273" spans="1:15" ht="15" hidden="1" customHeight="1">
      <c r="A273" s="429" t="s">
        <v>1352</v>
      </c>
      <c r="B273" s="423" t="s">
        <v>1271</v>
      </c>
      <c r="C273" s="424" t="s">
        <v>6</v>
      </c>
      <c r="D273" s="425" t="s">
        <v>559</v>
      </c>
      <c r="E273" s="425" t="s">
        <v>1353</v>
      </c>
      <c r="F273" s="426">
        <v>46297</v>
      </c>
      <c r="G273" s="426">
        <v>46322</v>
      </c>
      <c r="H273" s="425" t="s">
        <v>482</v>
      </c>
      <c r="I273" s="430" t="s">
        <v>85</v>
      </c>
      <c r="J273" s="431" t="s">
        <v>105</v>
      </c>
      <c r="K273" s="432">
        <v>6050</v>
      </c>
      <c r="L273" s="414">
        <v>0</v>
      </c>
      <c r="M273" s="415">
        <v>0</v>
      </c>
      <c r="N273" s="416">
        <f t="shared" si="22"/>
        <v>6050</v>
      </c>
      <c r="O273" s="417">
        <f t="shared" si="23"/>
        <v>6050</v>
      </c>
    </row>
  </sheetData>
  <autoFilter ref="A2:O273" xr:uid="{98B414A5-6FD4-44F3-BAB1-43697D239207}">
    <filterColumn colId="0">
      <filters>
        <filter val="DAM-26001"/>
        <filter val="DAM-26002"/>
        <filter val="M-26001"/>
        <filter val="M-26002"/>
        <filter val="M-26003"/>
        <filter val="M-26004"/>
        <filter val="M-26004A"/>
        <filter val="M-26005"/>
        <filter val="M-26006"/>
        <filter val="M-26007"/>
        <filter val="M-26008"/>
        <filter val="M-26009"/>
        <filter val="M-26010"/>
        <filter val="M-26011"/>
        <filter val="M-26012"/>
        <filter val="M-26013"/>
        <filter val="M-26014"/>
        <filter val="M-26015"/>
        <filter val="M-26016"/>
        <filter val="M-26017"/>
        <filter val="M-26018"/>
        <filter val="M-26019"/>
        <filter val="M-26020"/>
        <filter val="M-26021"/>
        <filter val="M-26022"/>
        <filter val="M-26023"/>
        <filter val="M-26025"/>
        <filter val="M-26026"/>
        <filter val="M-26027"/>
        <filter val="M-26028"/>
        <filter val="M-26029"/>
        <filter val="M-26030"/>
        <filter val="M-26031"/>
        <filter val="M-26032"/>
        <filter val="M-26033"/>
        <filter val="M-26034"/>
        <filter val="M-26035"/>
        <filter val="M-26037"/>
        <filter val="M-26040"/>
        <filter val="M-ABY-260057"/>
        <filter val="M-ZUZU-260001"/>
        <filter val="M-ZUZU-260048"/>
        <filter val="M-ZUZU-260053"/>
        <filter val="M-ZUZU-260054"/>
        <filter val="YOM-26001"/>
        <filter val="YOM-26002"/>
        <filter val="YTM-25011"/>
        <filter val="YTM-26001"/>
        <filter val="YTM-26002"/>
        <filter val="YTM-26004"/>
        <filter val="YTM-26005"/>
      </filters>
    </filterColumn>
  </autoFilter>
  <sortState xmlns:xlrd2="http://schemas.microsoft.com/office/spreadsheetml/2017/richdata2" ref="A3:O108">
    <sortCondition ref="G3:G108"/>
  </sortState>
  <mergeCells count="1">
    <mergeCell ref="P2:P3"/>
  </mergeCells>
  <conditionalFormatting sqref="A1:A2">
    <cfRule type="duplicateValues" dxfId="3037" priority="859"/>
    <cfRule type="duplicateValues" dxfId="3036" priority="861"/>
    <cfRule type="duplicateValues" dxfId="3035" priority="862"/>
    <cfRule type="duplicateValues" dxfId="3034" priority="864"/>
    <cfRule type="duplicateValues" dxfId="3033" priority="875"/>
    <cfRule type="duplicateValues" dxfId="3032" priority="876"/>
    <cfRule type="duplicateValues" dxfId="3031" priority="877"/>
    <cfRule type="duplicateValues" dxfId="3030" priority="882"/>
  </conditionalFormatting>
  <conditionalFormatting sqref="A1:A1048576">
    <cfRule type="duplicateValues" dxfId="3029" priority="179"/>
    <cfRule type="duplicateValues" dxfId="3028" priority="198"/>
    <cfRule type="duplicateValues" dxfId="3027" priority="388"/>
    <cfRule type="duplicateValues" dxfId="3026" priority="401"/>
    <cfRule type="duplicateValues" dxfId="3025" priority="586"/>
  </conditionalFormatting>
  <conditionalFormatting sqref="A3:A30">
    <cfRule type="duplicateValues" dxfId="3024" priority="2174"/>
    <cfRule type="duplicateValues" dxfId="3023" priority="2175"/>
    <cfRule type="duplicateValues" dxfId="3022" priority="2176"/>
    <cfRule type="duplicateValues" dxfId="3021" priority="2177"/>
    <cfRule type="duplicateValues" dxfId="3020" priority="2178"/>
    <cfRule type="duplicateValues" dxfId="3019" priority="2179"/>
    <cfRule type="duplicateValues" dxfId="3018" priority="2180"/>
    <cfRule type="duplicateValues" dxfId="3017" priority="2181"/>
    <cfRule type="duplicateValues" dxfId="3016" priority="2182"/>
    <cfRule type="duplicateValues" dxfId="3015" priority="2183"/>
    <cfRule type="duplicateValues" dxfId="3014" priority="2184"/>
    <cfRule type="duplicateValues" dxfId="3013" priority="2185"/>
  </conditionalFormatting>
  <conditionalFormatting sqref="A31:A44">
    <cfRule type="duplicateValues" dxfId="3012" priority="350"/>
    <cfRule type="duplicateValues" dxfId="3011" priority="351"/>
    <cfRule type="duplicateValues" dxfId="3010" priority="352"/>
    <cfRule type="duplicateValues" dxfId="3009" priority="353"/>
    <cfRule type="duplicateValues" dxfId="3008" priority="354"/>
    <cfRule type="duplicateValues" dxfId="3007" priority="355"/>
    <cfRule type="duplicateValues" dxfId="3006" priority="356"/>
    <cfRule type="duplicateValues" dxfId="3005" priority="357"/>
    <cfRule type="duplicateValues" dxfId="3004" priority="358"/>
    <cfRule type="duplicateValues" dxfId="3003" priority="359"/>
    <cfRule type="duplicateValues" dxfId="3002" priority="360"/>
    <cfRule type="duplicateValues" dxfId="3001" priority="361"/>
  </conditionalFormatting>
  <conditionalFormatting sqref="A45:A61">
    <cfRule type="duplicateValues" dxfId="3000" priority="322"/>
    <cfRule type="duplicateValues" dxfId="2999" priority="323"/>
    <cfRule type="duplicateValues" dxfId="2998" priority="324"/>
    <cfRule type="duplicateValues" dxfId="2997" priority="325"/>
    <cfRule type="duplicateValues" dxfId="2996" priority="326"/>
    <cfRule type="duplicateValues" dxfId="2995" priority="327"/>
    <cfRule type="duplicateValues" dxfId="2994" priority="328"/>
    <cfRule type="duplicateValues" dxfId="2993" priority="329"/>
    <cfRule type="duplicateValues" dxfId="2992" priority="330"/>
    <cfRule type="duplicateValues" dxfId="2991" priority="331"/>
    <cfRule type="duplicateValues" dxfId="2990" priority="332"/>
    <cfRule type="duplicateValues" dxfId="2989" priority="333"/>
  </conditionalFormatting>
  <conditionalFormatting sqref="A62:A65">
    <cfRule type="duplicateValues" dxfId="2988" priority="302"/>
    <cfRule type="duplicateValues" dxfId="2987" priority="303"/>
    <cfRule type="duplicateValues" dxfId="2986" priority="304"/>
    <cfRule type="duplicateValues" dxfId="2985" priority="305"/>
    <cfRule type="duplicateValues" dxfId="2984" priority="306"/>
    <cfRule type="duplicateValues" dxfId="2983" priority="307"/>
    <cfRule type="duplicateValues" dxfId="2982" priority="308"/>
    <cfRule type="duplicateValues" dxfId="2981" priority="309"/>
    <cfRule type="duplicateValues" dxfId="2980" priority="310"/>
    <cfRule type="duplicateValues" dxfId="2979" priority="311"/>
    <cfRule type="duplicateValues" dxfId="2978" priority="312"/>
    <cfRule type="duplicateValues" dxfId="2977" priority="313"/>
  </conditionalFormatting>
  <conditionalFormatting sqref="A66:A77">
    <cfRule type="duplicateValues" dxfId="2976" priority="256"/>
    <cfRule type="duplicateValues" dxfId="2975" priority="257"/>
    <cfRule type="duplicateValues" dxfId="2974" priority="258"/>
    <cfRule type="duplicateValues" dxfId="2973" priority="259"/>
    <cfRule type="duplicateValues" dxfId="2972" priority="260"/>
    <cfRule type="duplicateValues" dxfId="2971" priority="261"/>
    <cfRule type="duplicateValues" dxfId="2970" priority="262"/>
    <cfRule type="duplicateValues" dxfId="2969" priority="263"/>
    <cfRule type="duplicateValues" dxfId="2968" priority="264"/>
    <cfRule type="duplicateValues" dxfId="2967" priority="265"/>
    <cfRule type="duplicateValues" dxfId="2966" priority="266"/>
    <cfRule type="duplicateValues" dxfId="2965" priority="267"/>
  </conditionalFormatting>
  <conditionalFormatting sqref="A78:A79">
    <cfRule type="duplicateValues" dxfId="2964" priority="228"/>
    <cfRule type="duplicateValues" dxfId="2963" priority="229"/>
    <cfRule type="duplicateValues" dxfId="2962" priority="230"/>
    <cfRule type="duplicateValues" dxfId="2961" priority="231"/>
    <cfRule type="duplicateValues" dxfId="2960" priority="232"/>
    <cfRule type="duplicateValues" dxfId="2959" priority="233"/>
    <cfRule type="duplicateValues" dxfId="2958" priority="234"/>
    <cfRule type="duplicateValues" dxfId="2957" priority="235"/>
    <cfRule type="duplicateValues" dxfId="2956" priority="236"/>
    <cfRule type="duplicateValues" dxfId="2955" priority="237"/>
    <cfRule type="duplicateValues" dxfId="2954" priority="238"/>
    <cfRule type="duplicateValues" dxfId="2953" priority="239"/>
  </conditionalFormatting>
  <conditionalFormatting sqref="A80:A81">
    <cfRule type="duplicateValues" dxfId="2952" priority="180"/>
    <cfRule type="duplicateValues" dxfId="2951" priority="181"/>
    <cfRule type="duplicateValues" dxfId="2950" priority="182"/>
    <cfRule type="duplicateValues" dxfId="2949" priority="183"/>
    <cfRule type="duplicateValues" dxfId="2948" priority="184"/>
    <cfRule type="duplicateValues" dxfId="2947" priority="185"/>
    <cfRule type="duplicateValues" dxfId="2946" priority="186"/>
    <cfRule type="duplicateValues" dxfId="2945" priority="187"/>
    <cfRule type="duplicateValues" dxfId="2944" priority="188"/>
    <cfRule type="duplicateValues" dxfId="2943" priority="189"/>
    <cfRule type="duplicateValues" dxfId="2942" priority="190"/>
    <cfRule type="duplicateValues" dxfId="2941" priority="191"/>
  </conditionalFormatting>
  <conditionalFormatting sqref="A82:A103">
    <cfRule type="duplicateValues" dxfId="2940" priority="2573"/>
    <cfRule type="duplicateValues" dxfId="2939" priority="2574"/>
    <cfRule type="duplicateValues" dxfId="2938" priority="2575"/>
    <cfRule type="duplicateValues" dxfId="2937" priority="2576"/>
    <cfRule type="duplicateValues" dxfId="2936" priority="2577"/>
    <cfRule type="duplicateValues" dxfId="2935" priority="2578"/>
    <cfRule type="duplicateValues" dxfId="2934" priority="2579"/>
    <cfRule type="duplicateValues" dxfId="2933" priority="2580"/>
    <cfRule type="duplicateValues" dxfId="2932" priority="2581"/>
    <cfRule type="duplicateValues" dxfId="2931" priority="2582"/>
    <cfRule type="duplicateValues" dxfId="2930" priority="2583"/>
    <cfRule type="duplicateValues" dxfId="2929" priority="2584"/>
  </conditionalFormatting>
  <conditionalFormatting sqref="A104:A105">
    <cfRule type="duplicateValues" dxfId="2928" priority="107"/>
    <cfRule type="duplicateValues" dxfId="2927" priority="108"/>
    <cfRule type="duplicateValues" dxfId="2926" priority="109"/>
    <cfRule type="duplicateValues" dxfId="2925" priority="110"/>
    <cfRule type="duplicateValues" dxfId="2924" priority="111"/>
    <cfRule type="duplicateValues" dxfId="2923" priority="112"/>
    <cfRule type="duplicateValues" dxfId="2922" priority="113"/>
    <cfRule type="duplicateValues" dxfId="2921" priority="114"/>
    <cfRule type="duplicateValues" dxfId="2920" priority="115"/>
    <cfRule type="duplicateValues" dxfId="2919" priority="116"/>
    <cfRule type="duplicateValues" dxfId="2918" priority="117"/>
    <cfRule type="duplicateValues" dxfId="2917" priority="118"/>
  </conditionalFormatting>
  <conditionalFormatting sqref="A106:A123">
    <cfRule type="duplicateValues" dxfId="2916" priority="89"/>
    <cfRule type="duplicateValues" dxfId="2915" priority="90"/>
    <cfRule type="duplicateValues" dxfId="2914" priority="91"/>
    <cfRule type="duplicateValues" dxfId="2913" priority="92"/>
    <cfRule type="duplicateValues" dxfId="2912" priority="93"/>
    <cfRule type="duplicateValues" dxfId="2911" priority="94"/>
    <cfRule type="duplicateValues" dxfId="2910" priority="95"/>
    <cfRule type="duplicateValues" dxfId="2909" priority="96"/>
    <cfRule type="duplicateValues" dxfId="2908" priority="97"/>
    <cfRule type="duplicateValues" dxfId="2907" priority="98"/>
    <cfRule type="duplicateValues" dxfId="2906" priority="99"/>
    <cfRule type="duplicateValues" dxfId="2905" priority="100"/>
  </conditionalFormatting>
  <conditionalFormatting sqref="A124:A273">
    <cfRule type="duplicateValues" dxfId="2904" priority="3801"/>
    <cfRule type="duplicateValues" dxfId="2903" priority="3802"/>
    <cfRule type="duplicateValues" dxfId="2902" priority="3803"/>
    <cfRule type="duplicateValues" dxfId="2901" priority="3804"/>
    <cfRule type="duplicateValues" dxfId="2900" priority="3805"/>
    <cfRule type="duplicateValues" dxfId="2899" priority="3806"/>
    <cfRule type="duplicateValues" dxfId="2898" priority="3807"/>
    <cfRule type="duplicateValues" dxfId="2897" priority="3808"/>
    <cfRule type="duplicateValues" dxfId="2896" priority="3809"/>
    <cfRule type="duplicateValues" dxfId="2895" priority="3810"/>
    <cfRule type="duplicateValues" dxfId="2894" priority="3811"/>
    <cfRule type="duplicateValues" dxfId="2893" priority="3812"/>
  </conditionalFormatting>
  <conditionalFormatting sqref="A274:A1048576 A1:A2">
    <cfRule type="duplicateValues" dxfId="2892" priority="1014"/>
    <cfRule type="duplicateValues" dxfId="2891" priority="1015"/>
    <cfRule type="duplicateValues" dxfId="2890" priority="1016"/>
    <cfRule type="duplicateValues" dxfId="2889" priority="1017"/>
    <cfRule type="duplicateValues" dxfId="2888" priority="1018"/>
    <cfRule type="duplicateValues" dxfId="2887" priority="1019"/>
    <cfRule type="duplicateValues" dxfId="2886" priority="1020"/>
    <cfRule type="duplicateValues" dxfId="2885" priority="1035"/>
    <cfRule type="duplicateValues" dxfId="2884" priority="1036"/>
  </conditionalFormatting>
  <conditionalFormatting sqref="A274:A1048576">
    <cfRule type="duplicateValues" dxfId="2883" priority="1047"/>
    <cfRule type="duplicateValues" dxfId="2882" priority="1048"/>
    <cfRule type="duplicateValues" dxfId="2881" priority="1049"/>
  </conditionalFormatting>
  <conditionalFormatting sqref="E1:E2">
    <cfRule type="duplicateValues" dxfId="2880" priority="860"/>
    <cfRule type="duplicateValues" dxfId="2879" priority="863"/>
    <cfRule type="duplicateValues" dxfId="2878" priority="878"/>
    <cfRule type="duplicateValues" dxfId="2877" priority="879"/>
    <cfRule type="duplicateValues" dxfId="2876" priority="880"/>
    <cfRule type="duplicateValues" dxfId="2875" priority="881"/>
    <cfRule type="duplicateValues" dxfId="2874" priority="883"/>
  </conditionalFormatting>
  <conditionalFormatting sqref="E1:E1048576 A1:A1048576">
    <cfRule type="duplicateValues" dxfId="2873" priority="2090"/>
  </conditionalFormatting>
  <conditionalFormatting sqref="E1:E1048576">
    <cfRule type="duplicateValues" dxfId="2872" priority="399"/>
    <cfRule type="duplicateValues" dxfId="2871" priority="2150"/>
    <cfRule type="duplicateValues" dxfId="2870" priority="2151"/>
  </conditionalFormatting>
  <conditionalFormatting sqref="E3:E30">
    <cfRule type="duplicateValues" dxfId="2869" priority="2207"/>
    <cfRule type="duplicateValues" dxfId="2868" priority="2208"/>
    <cfRule type="duplicateValues" dxfId="2867" priority="2209"/>
    <cfRule type="duplicateValues" dxfId="2866" priority="2210"/>
    <cfRule type="duplicateValues" dxfId="2865" priority="2211"/>
    <cfRule type="duplicateValues" dxfId="2864" priority="2212"/>
  </conditionalFormatting>
  <conditionalFormatting sqref="E31:E44">
    <cfRule type="duplicateValues" dxfId="2863" priority="362"/>
    <cfRule type="duplicateValues" dxfId="2862" priority="363"/>
    <cfRule type="duplicateValues" dxfId="2861" priority="364"/>
    <cfRule type="duplicateValues" dxfId="2860" priority="365"/>
    <cfRule type="duplicateValues" dxfId="2859" priority="366"/>
    <cfRule type="duplicateValues" dxfId="2858" priority="367"/>
  </conditionalFormatting>
  <conditionalFormatting sqref="E45:E61">
    <cfRule type="duplicateValues" dxfId="2857" priority="334"/>
    <cfRule type="duplicateValues" dxfId="2856" priority="335"/>
    <cfRule type="duplicateValues" dxfId="2855" priority="336"/>
    <cfRule type="duplicateValues" dxfId="2854" priority="337"/>
    <cfRule type="duplicateValues" dxfId="2853" priority="338"/>
    <cfRule type="duplicateValues" dxfId="2852" priority="339"/>
  </conditionalFormatting>
  <conditionalFormatting sqref="E62:E65">
    <cfRule type="duplicateValues" dxfId="2851" priority="314"/>
    <cfRule type="duplicateValues" dxfId="2850" priority="315"/>
    <cfRule type="duplicateValues" dxfId="2849" priority="316"/>
    <cfRule type="duplicateValues" dxfId="2848" priority="317"/>
    <cfRule type="duplicateValues" dxfId="2847" priority="318"/>
    <cfRule type="duplicateValues" dxfId="2846" priority="319"/>
  </conditionalFormatting>
  <conditionalFormatting sqref="E66:E77">
    <cfRule type="duplicateValues" dxfId="2845" priority="268"/>
    <cfRule type="duplicateValues" dxfId="2844" priority="269"/>
    <cfRule type="duplicateValues" dxfId="2843" priority="270"/>
    <cfRule type="duplicateValues" dxfId="2842" priority="271"/>
    <cfRule type="duplicateValues" dxfId="2841" priority="272"/>
    <cfRule type="duplicateValues" dxfId="2840" priority="273"/>
  </conditionalFormatting>
  <conditionalFormatting sqref="E78:E79">
    <cfRule type="duplicateValues" dxfId="2839" priority="240"/>
    <cfRule type="duplicateValues" dxfId="2838" priority="241"/>
    <cfRule type="duplicateValues" dxfId="2837" priority="242"/>
    <cfRule type="duplicateValues" dxfId="2836" priority="243"/>
    <cfRule type="duplicateValues" dxfId="2835" priority="244"/>
    <cfRule type="duplicateValues" dxfId="2834" priority="245"/>
  </conditionalFormatting>
  <conditionalFormatting sqref="E80:E81">
    <cfRule type="duplicateValues" dxfId="2833" priority="192"/>
    <cfRule type="duplicateValues" dxfId="2832" priority="193"/>
    <cfRule type="duplicateValues" dxfId="2831" priority="194"/>
    <cfRule type="duplicateValues" dxfId="2830" priority="195"/>
    <cfRule type="duplicateValues" dxfId="2829" priority="196"/>
    <cfRule type="duplicateValues" dxfId="2828" priority="197"/>
  </conditionalFormatting>
  <conditionalFormatting sqref="E82:E103">
    <cfRule type="duplicateValues" dxfId="2827" priority="2585"/>
    <cfRule type="duplicateValues" dxfId="2826" priority="2586"/>
    <cfRule type="duplicateValues" dxfId="2825" priority="2587"/>
    <cfRule type="duplicateValues" dxfId="2824" priority="2588"/>
    <cfRule type="duplicateValues" dxfId="2823" priority="2589"/>
    <cfRule type="duplicateValues" dxfId="2822" priority="2590"/>
  </conditionalFormatting>
  <conditionalFormatting sqref="E104:E105">
    <cfRule type="duplicateValues" dxfId="2821" priority="119"/>
    <cfRule type="duplicateValues" dxfId="2820" priority="120"/>
    <cfRule type="duplicateValues" dxfId="2819" priority="121"/>
    <cfRule type="duplicateValues" dxfId="2818" priority="122"/>
    <cfRule type="duplicateValues" dxfId="2817" priority="123"/>
    <cfRule type="duplicateValues" dxfId="2816" priority="124"/>
  </conditionalFormatting>
  <conditionalFormatting sqref="E106:E123">
    <cfRule type="duplicateValues" dxfId="2815" priority="101"/>
    <cfRule type="duplicateValues" dxfId="2814" priority="102"/>
    <cfRule type="duplicateValues" dxfId="2813" priority="103"/>
    <cfRule type="duplicateValues" dxfId="2812" priority="104"/>
    <cfRule type="duplicateValues" dxfId="2811" priority="105"/>
    <cfRule type="duplicateValues" dxfId="2810" priority="106"/>
  </conditionalFormatting>
  <conditionalFormatting sqref="E124:E273">
    <cfRule type="duplicateValues" dxfId="2809" priority="3831"/>
    <cfRule type="duplicateValues" dxfId="2808" priority="3832"/>
    <cfRule type="duplicateValues" dxfId="2807" priority="3833"/>
    <cfRule type="duplicateValues" dxfId="2806" priority="3834"/>
    <cfRule type="duplicateValues" dxfId="2805" priority="3835"/>
    <cfRule type="duplicateValues" dxfId="2804" priority="3836"/>
  </conditionalFormatting>
  <conditionalFormatting sqref="E274:E1048576 E1:E2">
    <cfRule type="duplicateValues" dxfId="2803" priority="2162"/>
    <cfRule type="duplicateValues" dxfId="2802" priority="2163"/>
    <cfRule type="duplicateValues" dxfId="2801" priority="2164"/>
    <cfRule type="duplicateValues" dxfId="2800" priority="2165"/>
    <cfRule type="duplicateValues" dxfId="2799" priority="2166"/>
    <cfRule type="duplicateValues" dxfId="2798" priority="2167"/>
  </conditionalFormatting>
  <pageMargins left="0.7" right="0.7" top="0.75" bottom="0.75" header="0.3" footer="0.3"/>
  <ignoredErrors>
    <ignoredError sqref="N148" formula="1"/>
  </ignoredErrors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FBACC-91AB-4D05-A152-276BED8EA6F4}">
  <sheetPr codeName="Hoja35"/>
  <dimension ref="A1:Q4"/>
  <sheetViews>
    <sheetView workbookViewId="0">
      <selection activeCell="R24" sqref="R24"/>
    </sheetView>
  </sheetViews>
  <sheetFormatPr defaultColWidth="11.42578125" defaultRowHeight="14.45"/>
  <sheetData>
    <row r="1" spans="1:17" ht="21">
      <c r="A1" s="90"/>
      <c r="B1" s="91"/>
      <c r="C1" s="91"/>
      <c r="D1" s="91"/>
      <c r="E1" s="57"/>
      <c r="F1" s="92"/>
      <c r="G1" s="92"/>
      <c r="H1" s="57"/>
      <c r="I1" s="57"/>
      <c r="J1" s="98"/>
      <c r="K1" s="130"/>
      <c r="L1" s="156"/>
      <c r="M1" s="100"/>
      <c r="N1" s="138"/>
      <c r="O1" s="208">
        <f>SUM(M3:M339)-SUM(Q4:Q10)</f>
        <v>0</v>
      </c>
      <c r="P1" s="57"/>
      <c r="Q1" s="59"/>
    </row>
    <row r="2" spans="1:17" ht="27.6">
      <c r="A2" s="39" t="s">
        <v>45</v>
      </c>
      <c r="B2" s="39" t="s">
        <v>491</v>
      </c>
      <c r="C2" s="39" t="s">
        <v>47</v>
      </c>
      <c r="D2" s="39" t="s">
        <v>48</v>
      </c>
      <c r="E2" s="39" t="s">
        <v>49</v>
      </c>
      <c r="F2" s="60" t="s">
        <v>50</v>
      </c>
      <c r="G2" s="60" t="s">
        <v>51</v>
      </c>
      <c r="H2" s="39" t="s">
        <v>52</v>
      </c>
      <c r="I2" s="40" t="s">
        <v>53</v>
      </c>
      <c r="J2" s="40" t="s">
        <v>54</v>
      </c>
      <c r="K2" s="46" t="s">
        <v>58</v>
      </c>
      <c r="L2" s="101" t="s">
        <v>766</v>
      </c>
      <c r="M2" s="137" t="s">
        <v>55</v>
      </c>
      <c r="N2" s="136"/>
      <c r="O2" s="462"/>
      <c r="P2" s="57"/>
      <c r="Q2" s="59"/>
    </row>
    <row r="3" spans="1:17" ht="28.15" customHeight="1">
      <c r="A3" s="114" t="s">
        <v>1354</v>
      </c>
      <c r="B3" s="106" t="s">
        <v>1355</v>
      </c>
      <c r="C3" s="33" t="s">
        <v>1356</v>
      </c>
      <c r="D3" s="32" t="s">
        <v>559</v>
      </c>
      <c r="E3" s="32" t="s">
        <v>1357</v>
      </c>
      <c r="F3" s="34">
        <v>46212</v>
      </c>
      <c r="G3" s="34">
        <v>46242</v>
      </c>
      <c r="H3" s="32" t="s">
        <v>89</v>
      </c>
      <c r="I3" s="77" t="s">
        <v>66</v>
      </c>
      <c r="J3" s="351" t="s">
        <v>105</v>
      </c>
      <c r="K3" s="81">
        <v>5800</v>
      </c>
      <c r="L3" s="352">
        <v>180</v>
      </c>
      <c r="M3" s="287">
        <f>SUM(K3+L3)</f>
        <v>5980</v>
      </c>
      <c r="N3" s="155">
        <f>M3</f>
        <v>5980</v>
      </c>
      <c r="O3" s="462"/>
      <c r="P3" s="132" t="s">
        <v>56</v>
      </c>
      <c r="Q3" s="133" t="s">
        <v>57</v>
      </c>
    </row>
    <row r="4" spans="1:17">
      <c r="P4" s="74">
        <v>46261</v>
      </c>
      <c r="Q4" s="209">
        <v>5980</v>
      </c>
    </row>
  </sheetData>
  <mergeCells count="1">
    <mergeCell ref="O2:O3"/>
  </mergeCells>
  <conditionalFormatting sqref="A1:A2 E1:E2">
    <cfRule type="duplicateValues" dxfId="2797" priority="3828"/>
  </conditionalFormatting>
  <conditionalFormatting sqref="A1:A2">
    <cfRule type="duplicateValues" dxfId="2796" priority="34"/>
    <cfRule type="duplicateValues" dxfId="2795" priority="36"/>
    <cfRule type="duplicateValues" dxfId="2794" priority="37"/>
    <cfRule type="duplicateValues" dxfId="2793" priority="39"/>
    <cfRule type="duplicateValues" dxfId="2792" priority="40"/>
    <cfRule type="duplicateValues" dxfId="2791" priority="41"/>
    <cfRule type="duplicateValues" dxfId="2790" priority="42"/>
    <cfRule type="duplicateValues" dxfId="2789" priority="47"/>
    <cfRule type="duplicateValues" dxfId="2788" priority="49"/>
    <cfRule type="duplicateValues" dxfId="2787" priority="50"/>
    <cfRule type="duplicateValues" dxfId="2786" priority="51"/>
    <cfRule type="duplicateValues" dxfId="2785" priority="52"/>
    <cfRule type="duplicateValues" dxfId="2784" priority="53"/>
    <cfRule type="duplicateValues" dxfId="2783" priority="54"/>
    <cfRule type="duplicateValues" dxfId="2782" priority="55"/>
    <cfRule type="duplicateValues" dxfId="2781" priority="56"/>
    <cfRule type="duplicateValues" dxfId="2780" priority="57"/>
    <cfRule type="duplicateValues" dxfId="2779" priority="3830"/>
    <cfRule type="duplicateValues" dxfId="2778" priority="3831"/>
    <cfRule type="duplicateValues" dxfId="2777" priority="3832"/>
    <cfRule type="duplicateValues" dxfId="2776" priority="3833"/>
    <cfRule type="duplicateValues" dxfId="2775" priority="3834"/>
  </conditionalFormatting>
  <conditionalFormatting sqref="A3 E3">
    <cfRule type="duplicateValues" dxfId="2774" priority="7"/>
  </conditionalFormatting>
  <conditionalFormatting sqref="A3">
    <cfRule type="duplicateValues" dxfId="2773" priority="1"/>
    <cfRule type="duplicateValues" dxfId="2772" priority="2"/>
    <cfRule type="duplicateValues" dxfId="2771" priority="3"/>
    <cfRule type="duplicateValues" dxfId="2770" priority="5"/>
    <cfRule type="duplicateValues" dxfId="2769" priority="6"/>
    <cfRule type="duplicateValues" dxfId="2768" priority="10"/>
    <cfRule type="duplicateValues" dxfId="2767" priority="11"/>
    <cfRule type="duplicateValues" dxfId="2766" priority="12"/>
    <cfRule type="duplicateValues" dxfId="2765" priority="13"/>
    <cfRule type="duplicateValues" dxfId="2764" priority="14"/>
    <cfRule type="duplicateValues" dxfId="2763" priority="15"/>
    <cfRule type="duplicateValues" dxfId="2762" priority="16"/>
    <cfRule type="duplicateValues" dxfId="2761" priority="17"/>
    <cfRule type="duplicateValues" dxfId="2760" priority="18"/>
    <cfRule type="duplicateValues" dxfId="2759" priority="19"/>
    <cfRule type="duplicateValues" dxfId="2758" priority="20"/>
    <cfRule type="duplicateValues" dxfId="2757" priority="21"/>
  </conditionalFormatting>
  <conditionalFormatting sqref="E1:E2">
    <cfRule type="duplicateValues" dxfId="2756" priority="35"/>
    <cfRule type="duplicateValues" dxfId="2755" priority="38"/>
    <cfRule type="duplicateValues" dxfId="2754" priority="43"/>
    <cfRule type="duplicateValues" dxfId="2753" priority="44"/>
    <cfRule type="duplicateValues" dxfId="2752" priority="45"/>
    <cfRule type="duplicateValues" dxfId="2751" priority="46"/>
    <cfRule type="duplicateValues" dxfId="2750" priority="48"/>
    <cfRule type="duplicateValues" dxfId="2749" priority="61"/>
    <cfRule type="duplicateValues" dxfId="2748" priority="62"/>
    <cfRule type="duplicateValues" dxfId="2747" priority="63"/>
    <cfRule type="duplicateValues" dxfId="2746" priority="64"/>
    <cfRule type="duplicateValues" dxfId="2745" priority="65"/>
    <cfRule type="duplicateValues" dxfId="2744" priority="66"/>
    <cfRule type="duplicateValues" dxfId="2743" priority="3835"/>
    <cfRule type="duplicateValues" dxfId="2742" priority="3836"/>
    <cfRule type="duplicateValues" dxfId="2741" priority="3837"/>
  </conditionalFormatting>
  <conditionalFormatting sqref="E3">
    <cfRule type="duplicateValues" dxfId="2740" priority="4"/>
    <cfRule type="duplicateValues" dxfId="2739" priority="8"/>
    <cfRule type="duplicateValues" dxfId="2738" priority="9"/>
    <cfRule type="duplicateValues" dxfId="2737" priority="22"/>
    <cfRule type="duplicateValues" dxfId="2736" priority="23"/>
    <cfRule type="duplicateValues" dxfId="2735" priority="24"/>
    <cfRule type="duplicateValues" dxfId="2734" priority="25"/>
    <cfRule type="duplicateValues" dxfId="2733" priority="26"/>
    <cfRule type="duplicateValues" dxfId="2732" priority="27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D3BCF-5A00-4AC4-9CBE-55A98F08E051}">
  <sheetPr codeName="Hoja11">
    <tabColor theme="4" tint="0.39997558519241921"/>
  </sheetPr>
  <dimension ref="A1:P12"/>
  <sheetViews>
    <sheetView workbookViewId="0">
      <selection activeCell="K14" sqref="K14"/>
    </sheetView>
  </sheetViews>
  <sheetFormatPr defaultColWidth="11.42578125" defaultRowHeight="14.45"/>
  <cols>
    <col min="1" max="1" width="11.7109375" customWidth="1"/>
    <col min="3" max="3" width="15.42578125" customWidth="1"/>
    <col min="4" max="4" width="13.7109375" customWidth="1"/>
    <col min="9" max="9" width="19.140625" bestFit="1" customWidth="1"/>
  </cols>
  <sheetData>
    <row r="1" spans="1:16" ht="15.6">
      <c r="J1" s="1"/>
      <c r="K1" s="1"/>
      <c r="L1" s="1"/>
      <c r="M1" s="31">
        <f>SUM(M3:M48)-SUM(P4:P4)</f>
        <v>0</v>
      </c>
    </row>
    <row r="2" spans="1:16" ht="30" customHeight="1">
      <c r="A2" s="5" t="s">
        <v>45</v>
      </c>
      <c r="B2" s="5" t="s">
        <v>46</v>
      </c>
      <c r="C2" s="5" t="s">
        <v>47</v>
      </c>
      <c r="D2" s="5" t="s">
        <v>49</v>
      </c>
      <c r="E2" s="5" t="s">
        <v>50</v>
      </c>
      <c r="F2" s="5" t="s">
        <v>51</v>
      </c>
      <c r="G2" s="5" t="s">
        <v>52</v>
      </c>
      <c r="H2" s="5" t="s">
        <v>53</v>
      </c>
      <c r="I2" s="5" t="s">
        <v>54</v>
      </c>
      <c r="J2" s="5" t="s">
        <v>58</v>
      </c>
      <c r="K2" s="5" t="s">
        <v>675</v>
      </c>
      <c r="L2" s="5" t="s">
        <v>676</v>
      </c>
      <c r="M2" s="5" t="s">
        <v>55</v>
      </c>
    </row>
    <row r="3" spans="1:16" ht="19.899999999999999" customHeight="1">
      <c r="A3" s="114"/>
      <c r="B3" s="106"/>
      <c r="C3" s="33"/>
      <c r="D3" s="32"/>
      <c r="E3" s="105"/>
      <c r="F3" s="105"/>
      <c r="G3" s="32"/>
      <c r="H3" s="77"/>
      <c r="I3" s="112"/>
      <c r="J3" s="113"/>
      <c r="K3" s="113"/>
      <c r="L3" s="113"/>
      <c r="M3" s="198"/>
      <c r="O3" s="127" t="s">
        <v>56</v>
      </c>
      <c r="P3" s="128" t="s">
        <v>57</v>
      </c>
    </row>
    <row r="4" spans="1:16" ht="19.899999999999999" customHeight="1">
      <c r="A4" s="114"/>
      <c r="B4" s="106"/>
      <c r="C4" s="33"/>
      <c r="D4" s="32"/>
      <c r="E4" s="105"/>
      <c r="F4" s="105"/>
      <c r="G4" s="32"/>
      <c r="H4" s="77"/>
      <c r="I4" s="112"/>
      <c r="J4" s="113"/>
      <c r="K4" s="113"/>
      <c r="L4" s="113"/>
      <c r="M4" s="198"/>
      <c r="O4" s="150"/>
      <c r="P4" s="152"/>
    </row>
    <row r="5" spans="1:16" ht="19.899999999999999" customHeight="1">
      <c r="A5" s="114"/>
      <c r="B5" s="106"/>
      <c r="C5" s="33"/>
      <c r="D5" s="32"/>
      <c r="E5" s="34"/>
      <c r="F5" s="105"/>
      <c r="G5" s="32"/>
      <c r="H5" s="77"/>
      <c r="I5" s="112"/>
      <c r="J5" s="113"/>
      <c r="K5" s="113"/>
      <c r="L5" s="113"/>
      <c r="M5" s="198"/>
    </row>
    <row r="6" spans="1:16" ht="19.899999999999999" customHeight="1">
      <c r="A6" s="114"/>
      <c r="B6" s="106"/>
      <c r="C6" s="33"/>
      <c r="D6" s="32"/>
      <c r="E6" s="34"/>
      <c r="F6" s="105"/>
      <c r="G6" s="32"/>
      <c r="H6" s="77"/>
      <c r="I6" s="112"/>
      <c r="J6" s="113"/>
      <c r="K6" s="113"/>
      <c r="L6" s="113"/>
      <c r="M6" s="198"/>
    </row>
    <row r="7" spans="1:16" ht="19.899999999999999" customHeight="1">
      <c r="A7" s="114"/>
      <c r="B7" s="106"/>
      <c r="C7" s="33"/>
      <c r="D7" s="32"/>
      <c r="E7" s="34"/>
      <c r="F7" s="105"/>
      <c r="G7" s="32"/>
      <c r="H7" s="77"/>
      <c r="I7" s="112"/>
      <c r="J7" s="113"/>
      <c r="K7" s="113"/>
      <c r="L7" s="113"/>
      <c r="M7" s="198"/>
    </row>
    <row r="8" spans="1:16" ht="19.899999999999999" customHeight="1">
      <c r="A8" s="114"/>
      <c r="B8" s="106"/>
      <c r="C8" s="33"/>
      <c r="D8" s="32"/>
      <c r="E8" s="34"/>
      <c r="F8" s="105"/>
      <c r="G8" s="32"/>
      <c r="H8" s="77"/>
      <c r="I8" s="112"/>
      <c r="J8" s="113"/>
      <c r="K8" s="113"/>
      <c r="L8" s="113"/>
      <c r="M8" s="198"/>
    </row>
    <row r="9" spans="1:16" ht="19.899999999999999" customHeight="1">
      <c r="A9" s="114"/>
      <c r="B9" s="106"/>
      <c r="C9" s="33"/>
      <c r="D9" s="32"/>
      <c r="E9" s="34"/>
      <c r="F9" s="105"/>
      <c r="G9" s="32"/>
      <c r="H9" s="77"/>
      <c r="I9" s="112"/>
      <c r="J9" s="113"/>
      <c r="K9" s="113"/>
      <c r="L9" s="113"/>
      <c r="M9" s="198"/>
    </row>
    <row r="10" spans="1:16" ht="19.899999999999999" customHeight="1">
      <c r="A10" s="114"/>
      <c r="B10" s="106"/>
      <c r="C10" s="33"/>
      <c r="D10" s="32"/>
      <c r="E10" s="34"/>
      <c r="F10" s="105"/>
      <c r="G10" s="32"/>
      <c r="H10" s="77"/>
      <c r="I10" s="112"/>
      <c r="J10" s="113"/>
      <c r="K10" s="113"/>
      <c r="L10" s="113"/>
      <c r="M10" s="198"/>
    </row>
    <row r="11" spans="1:16" ht="19.899999999999999" customHeight="1">
      <c r="A11" s="114"/>
      <c r="B11" s="106"/>
      <c r="C11" s="33"/>
      <c r="D11" s="32"/>
      <c r="E11" s="34"/>
      <c r="F11" s="105"/>
      <c r="G11" s="32"/>
      <c r="H11" s="77"/>
      <c r="I11" s="112"/>
      <c r="J11" s="113"/>
      <c r="K11" s="113"/>
      <c r="L11" s="113"/>
      <c r="M11" s="198"/>
    </row>
    <row r="12" spans="1:16" ht="19.899999999999999" customHeight="1">
      <c r="A12" s="114"/>
      <c r="B12" s="106"/>
      <c r="C12" s="33"/>
      <c r="D12" s="32"/>
      <c r="E12" s="34"/>
      <c r="F12" s="105"/>
      <c r="G12" s="32"/>
      <c r="H12" s="77"/>
      <c r="I12" s="112"/>
      <c r="J12" s="113"/>
      <c r="K12" s="113"/>
      <c r="L12" s="113"/>
      <c r="M12" s="198"/>
    </row>
  </sheetData>
  <conditionalFormatting sqref="A1:A1048576">
    <cfRule type="duplicateValues" dxfId="2731" priority="1"/>
  </conditionalFormatting>
  <conditionalFormatting sqref="D1">
    <cfRule type="duplicateValues" dxfId="2730" priority="5"/>
  </conditionalFormatting>
  <conditionalFormatting sqref="D1:D2 D5:D1048576">
    <cfRule type="duplicateValues" dxfId="2729" priority="2"/>
  </conditionalFormatting>
  <conditionalFormatting sqref="D5:D6">
    <cfRule type="duplicateValues" dxfId="2728" priority="3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4923F-5550-4A05-BC49-FCB581CFEDC2}">
  <sheetPr codeName="Hoja12">
    <tabColor theme="8" tint="0.39997558519241921"/>
  </sheetPr>
  <dimension ref="A1:N5"/>
  <sheetViews>
    <sheetView workbookViewId="0">
      <selection activeCell="L25" sqref="L25"/>
    </sheetView>
  </sheetViews>
  <sheetFormatPr defaultColWidth="11.42578125" defaultRowHeight="14.45"/>
  <cols>
    <col min="2" max="2" width="14.7109375" bestFit="1" customWidth="1"/>
    <col min="3" max="3" width="15.42578125" customWidth="1"/>
    <col min="5" max="5" width="12.42578125" bestFit="1" customWidth="1"/>
    <col min="11" max="11" width="11.42578125" style="104"/>
  </cols>
  <sheetData>
    <row r="1" spans="1:14" ht="18">
      <c r="K1" s="94">
        <f>SUM(K3:K20)-SUM(N4:N10)</f>
        <v>0</v>
      </c>
    </row>
    <row r="2" spans="1:14" s="71" customFormat="1" ht="30" customHeight="1">
      <c r="A2" s="83" t="s">
        <v>45</v>
      </c>
      <c r="B2" s="83" t="s">
        <v>46</v>
      </c>
      <c r="C2" s="83" t="s">
        <v>47</v>
      </c>
      <c r="D2" s="83" t="s">
        <v>48</v>
      </c>
      <c r="E2" s="83" t="s">
        <v>49</v>
      </c>
      <c r="F2" s="83" t="s">
        <v>50</v>
      </c>
      <c r="G2" s="83" t="s">
        <v>51</v>
      </c>
      <c r="H2" s="83" t="s">
        <v>52</v>
      </c>
      <c r="I2" s="84" t="s">
        <v>53</v>
      </c>
      <c r="J2" s="83" t="s">
        <v>54</v>
      </c>
      <c r="K2" s="5" t="s">
        <v>492</v>
      </c>
      <c r="L2" s="126"/>
    </row>
    <row r="3" spans="1:14" ht="19.899999999999999" customHeight="1">
      <c r="A3" s="32"/>
      <c r="B3" s="33"/>
      <c r="C3" s="33"/>
      <c r="D3" s="32"/>
      <c r="E3" s="32"/>
      <c r="F3" s="34"/>
      <c r="G3" s="34"/>
      <c r="H3" s="105"/>
      <c r="I3" s="32"/>
      <c r="J3" s="35"/>
      <c r="K3" s="199"/>
      <c r="M3" s="127" t="s">
        <v>56</v>
      </c>
      <c r="N3" s="128" t="s">
        <v>57</v>
      </c>
    </row>
    <row r="4" spans="1:14" ht="19.899999999999999" customHeight="1">
      <c r="A4" s="32"/>
      <c r="B4" s="33"/>
      <c r="C4" s="33"/>
      <c r="D4" s="32"/>
      <c r="E4" s="106"/>
      <c r="F4" s="34"/>
      <c r="G4" s="105"/>
      <c r="H4" s="32"/>
      <c r="I4" s="77"/>
      <c r="J4" s="112"/>
      <c r="K4" s="144"/>
      <c r="M4" s="150"/>
      <c r="N4" s="152"/>
    </row>
    <row r="5" spans="1:14" ht="19.899999999999999" customHeight="1">
      <c r="A5" s="32"/>
      <c r="B5" s="33"/>
      <c r="C5" s="33"/>
      <c r="D5" s="32"/>
      <c r="E5" s="106"/>
      <c r="F5" s="34"/>
      <c r="G5" s="105"/>
      <c r="H5" s="32"/>
      <c r="I5" s="77"/>
      <c r="J5" s="112"/>
      <c r="K5" s="144"/>
      <c r="M5" s="197"/>
      <c r="N5" s="152"/>
    </row>
  </sheetData>
  <conditionalFormatting sqref="E1:E2">
    <cfRule type="duplicateValues" dxfId="2727" priority="2"/>
  </conditionalFormatting>
  <conditionalFormatting sqref="E3">
    <cfRule type="duplicateValues" dxfId="2726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8F1AE-A1F6-4959-ACA6-11D0A6FBA485}">
  <sheetPr codeName="Hoja13">
    <tabColor theme="5" tint="-0.249977111117893"/>
  </sheetPr>
  <dimension ref="A1:Q8"/>
  <sheetViews>
    <sheetView workbookViewId="0">
      <selection activeCell="K12" sqref="K12"/>
    </sheetView>
  </sheetViews>
  <sheetFormatPr defaultColWidth="11.42578125" defaultRowHeight="14.45"/>
  <cols>
    <col min="1" max="1" width="22" bestFit="1" customWidth="1"/>
    <col min="2" max="2" width="20.42578125" customWidth="1"/>
    <col min="3" max="3" width="16.7109375" customWidth="1"/>
    <col min="4" max="4" width="3.42578125" bestFit="1" customWidth="1"/>
    <col min="5" max="5" width="13.42578125" bestFit="1" customWidth="1"/>
    <col min="6" max="6" width="8.7109375" customWidth="1"/>
    <col min="7" max="7" width="9.7109375" customWidth="1"/>
    <col min="8" max="8" width="17.7109375" customWidth="1"/>
    <col min="9" max="9" width="12.42578125" bestFit="1" customWidth="1"/>
    <col min="10" max="10" width="19.28515625" customWidth="1"/>
    <col min="11" max="11" width="13.28515625" style="1" customWidth="1"/>
    <col min="12" max="12" width="10.7109375" customWidth="1"/>
    <col min="13" max="13" width="14" customWidth="1"/>
    <col min="14" max="14" width="21.42578125" bestFit="1" customWidth="1"/>
  </cols>
  <sheetData>
    <row r="1" spans="1:17" ht="15.6">
      <c r="A1" s="57"/>
      <c r="B1" s="57"/>
      <c r="M1" s="1"/>
      <c r="N1" s="95">
        <f>SUM(N3:N8)</f>
        <v>0</v>
      </c>
    </row>
    <row r="2" spans="1:17" ht="24.4" customHeight="1">
      <c r="A2" s="87" t="s">
        <v>45</v>
      </c>
      <c r="B2" s="87" t="s">
        <v>491</v>
      </c>
      <c r="C2" s="87" t="s">
        <v>47</v>
      </c>
      <c r="D2" s="87" t="s">
        <v>48</v>
      </c>
      <c r="E2" s="87" t="s">
        <v>49</v>
      </c>
      <c r="F2" s="87" t="s">
        <v>50</v>
      </c>
      <c r="G2" s="87" t="s">
        <v>51</v>
      </c>
      <c r="H2" s="87" t="s">
        <v>52</v>
      </c>
      <c r="I2" s="88" t="s">
        <v>53</v>
      </c>
      <c r="J2" s="87" t="s">
        <v>54</v>
      </c>
      <c r="K2" s="89" t="s">
        <v>1358</v>
      </c>
      <c r="L2" s="89" t="s">
        <v>555</v>
      </c>
      <c r="M2" s="89" t="s">
        <v>55</v>
      </c>
      <c r="N2" s="89"/>
    </row>
    <row r="3" spans="1:17">
      <c r="A3" s="32"/>
      <c r="B3" s="32"/>
      <c r="C3" s="33"/>
      <c r="D3" s="32"/>
      <c r="E3" s="32"/>
      <c r="F3" s="34"/>
      <c r="G3" s="34"/>
      <c r="H3" s="32"/>
      <c r="I3" s="35"/>
      <c r="J3" s="68"/>
      <c r="K3" s="81"/>
      <c r="L3" s="81"/>
      <c r="M3" s="81"/>
      <c r="N3" s="113"/>
    </row>
    <row r="4" spans="1:17">
      <c r="A4" s="32"/>
      <c r="B4" s="32"/>
      <c r="C4" s="33"/>
      <c r="D4" s="32"/>
      <c r="E4" s="32"/>
      <c r="F4" s="34"/>
      <c r="G4" s="34"/>
      <c r="H4" s="32"/>
      <c r="I4" s="35"/>
      <c r="J4" s="68"/>
      <c r="K4" s="81"/>
      <c r="L4" s="81"/>
      <c r="M4" s="81"/>
      <c r="N4" s="113"/>
      <c r="P4" s="132" t="s">
        <v>56</v>
      </c>
      <c r="Q4" s="133" t="s">
        <v>57</v>
      </c>
    </row>
    <row r="5" spans="1:17">
      <c r="A5" s="32"/>
      <c r="B5" s="32"/>
      <c r="C5" s="33"/>
      <c r="D5" s="32"/>
      <c r="E5" s="32"/>
      <c r="F5" s="34"/>
      <c r="G5" s="34"/>
      <c r="H5" s="32"/>
      <c r="I5" s="35"/>
      <c r="J5" s="68"/>
      <c r="K5" s="81"/>
      <c r="L5" s="81"/>
      <c r="M5" s="81"/>
      <c r="N5" s="113"/>
      <c r="P5" s="150"/>
      <c r="Q5" s="151"/>
    </row>
    <row r="6" spans="1:17">
      <c r="A6" s="32"/>
      <c r="B6" s="32"/>
      <c r="C6" s="33"/>
      <c r="D6" s="32"/>
      <c r="E6" s="32"/>
      <c r="F6" s="34"/>
      <c r="G6" s="34"/>
      <c r="H6" s="32"/>
      <c r="I6" s="35"/>
      <c r="J6" s="68"/>
      <c r="K6" s="81"/>
      <c r="L6" s="81"/>
      <c r="M6" s="81"/>
      <c r="N6" s="113"/>
      <c r="P6" s="197"/>
      <c r="Q6" s="151"/>
    </row>
    <row r="7" spans="1:17">
      <c r="A7" s="32"/>
      <c r="B7" s="32"/>
      <c r="C7" s="33"/>
      <c r="D7" s="32"/>
      <c r="E7" s="32"/>
      <c r="F7" s="34"/>
      <c r="G7" s="34"/>
      <c r="H7" s="32"/>
      <c r="I7" s="35"/>
      <c r="J7" s="68"/>
      <c r="K7" s="81"/>
      <c r="L7" s="81"/>
      <c r="M7" s="81"/>
      <c r="N7" s="113"/>
    </row>
    <row r="8" spans="1:17">
      <c r="A8" s="32"/>
      <c r="B8" s="32"/>
      <c r="C8" s="33"/>
      <c r="D8" s="32"/>
      <c r="E8" s="32"/>
      <c r="F8" s="34"/>
      <c r="G8" s="34"/>
      <c r="H8" s="32"/>
      <c r="I8" s="35"/>
      <c r="J8" s="68"/>
      <c r="K8" s="81"/>
      <c r="L8" s="81"/>
      <c r="M8" s="81"/>
      <c r="N8" s="113"/>
    </row>
  </sheetData>
  <phoneticPr fontId="32" type="noConversion"/>
  <conditionalFormatting sqref="A1:A1048576">
    <cfRule type="duplicateValues" dxfId="2725" priority="1"/>
    <cfRule type="duplicateValues" dxfId="2724" priority="5"/>
    <cfRule type="duplicateValues" dxfId="2723" priority="12"/>
    <cfRule type="duplicateValues" dxfId="2722" priority="17"/>
    <cfRule type="duplicateValues" dxfId="2721" priority="21"/>
  </conditionalFormatting>
  <conditionalFormatting sqref="E1:E1048576">
    <cfRule type="duplicateValues" dxfId="2720" priority="4"/>
    <cfRule type="duplicateValues" dxfId="2719" priority="11"/>
    <cfRule type="duplicateValues" dxfId="2718" priority="18"/>
    <cfRule type="duplicateValues" dxfId="2717" priority="19"/>
    <cfRule type="duplicateValues" dxfId="2716" priority="20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4EB44-23F9-4081-A33C-689C124423FE}">
  <sheetPr codeName="Hoja14">
    <tabColor theme="1" tint="0.14999847407452621"/>
  </sheetPr>
  <dimension ref="A1:R60"/>
  <sheetViews>
    <sheetView topLeftCell="A36" workbookViewId="0">
      <selection activeCell="K59" sqref="K59"/>
    </sheetView>
  </sheetViews>
  <sheetFormatPr defaultColWidth="11.42578125" defaultRowHeight="14.45"/>
  <cols>
    <col min="1" max="1" width="23.7109375" customWidth="1"/>
    <col min="4" max="4" width="4.7109375" customWidth="1"/>
    <col min="5" max="5" width="13.42578125" bestFit="1" customWidth="1"/>
    <col min="6" max="6" width="6.28515625" customWidth="1"/>
    <col min="7" max="7" width="7.42578125" customWidth="1"/>
    <col min="8" max="8" width="10.7109375" bestFit="1" customWidth="1"/>
    <col min="9" max="9" width="18.28515625" customWidth="1"/>
    <col min="10" max="10" width="19.140625" bestFit="1" customWidth="1"/>
    <col min="13" max="13" width="10.7109375" customWidth="1"/>
    <col min="14" max="14" width="7.5703125" customWidth="1"/>
    <col min="15" max="15" width="9.5703125" style="1" bestFit="1" customWidth="1"/>
    <col min="17" max="17" width="15.42578125" bestFit="1" customWidth="1"/>
  </cols>
  <sheetData>
    <row r="1" spans="1:18" ht="15.6">
      <c r="A1" s="57"/>
      <c r="B1" s="57"/>
      <c r="K1" s="1"/>
      <c r="L1" s="1"/>
      <c r="N1" s="1"/>
      <c r="O1" s="95">
        <f>SUM(N3:N121)-SUM(R4:R15)</f>
        <v>244415</v>
      </c>
    </row>
    <row r="2" spans="1:18" ht="24.4" customHeight="1">
      <c r="A2" s="87" t="s">
        <v>45</v>
      </c>
      <c r="B2" s="87" t="s">
        <v>491</v>
      </c>
      <c r="C2" s="87" t="s">
        <v>47</v>
      </c>
      <c r="D2" s="87" t="s">
        <v>48</v>
      </c>
      <c r="E2" s="87" t="s">
        <v>49</v>
      </c>
      <c r="F2" s="87" t="s">
        <v>50</v>
      </c>
      <c r="G2" s="87" t="s">
        <v>51</v>
      </c>
      <c r="H2" s="87" t="s">
        <v>52</v>
      </c>
      <c r="I2" s="88" t="s">
        <v>53</v>
      </c>
      <c r="J2" s="87" t="s">
        <v>54</v>
      </c>
      <c r="K2" s="87" t="s">
        <v>58</v>
      </c>
      <c r="L2" s="89" t="s">
        <v>1359</v>
      </c>
      <c r="M2" s="89" t="s">
        <v>676</v>
      </c>
      <c r="N2" s="89" t="s">
        <v>55</v>
      </c>
      <c r="O2" s="89" t="s">
        <v>1360</v>
      </c>
    </row>
    <row r="3" spans="1:18">
      <c r="A3" s="7" t="s">
        <v>1361</v>
      </c>
      <c r="B3" s="7" t="s">
        <v>7</v>
      </c>
      <c r="C3" s="7" t="s">
        <v>7</v>
      </c>
      <c r="D3" s="7" t="s">
        <v>1362</v>
      </c>
      <c r="E3" s="211" t="s">
        <v>1363</v>
      </c>
      <c r="F3" s="9">
        <v>46030</v>
      </c>
      <c r="G3" s="220">
        <v>46046</v>
      </c>
      <c r="H3" s="7" t="s">
        <v>100</v>
      </c>
      <c r="I3" s="212" t="s">
        <v>645</v>
      </c>
      <c r="J3" s="281" t="s">
        <v>1364</v>
      </c>
      <c r="K3" s="12">
        <v>2500</v>
      </c>
      <c r="L3" s="12">
        <v>0</v>
      </c>
      <c r="M3" s="13">
        <v>100</v>
      </c>
      <c r="N3" s="13">
        <f t="shared" ref="N3:N34" si="0">SUM(K3:M3)</f>
        <v>2600</v>
      </c>
      <c r="O3" s="12">
        <v>0</v>
      </c>
      <c r="Q3" s="127" t="s">
        <v>56</v>
      </c>
      <c r="R3" s="128" t="s">
        <v>57</v>
      </c>
    </row>
    <row r="4" spans="1:18">
      <c r="A4" s="7" t="s">
        <v>1365</v>
      </c>
      <c r="B4" s="7" t="s">
        <v>7</v>
      </c>
      <c r="C4" s="7" t="s">
        <v>7</v>
      </c>
      <c r="D4" s="7" t="s">
        <v>1362</v>
      </c>
      <c r="E4" s="211" t="s">
        <v>1366</v>
      </c>
      <c r="F4" s="9">
        <v>46030</v>
      </c>
      <c r="G4" s="220">
        <v>46046</v>
      </c>
      <c r="H4" s="7" t="s">
        <v>100</v>
      </c>
      <c r="I4" s="212" t="s">
        <v>645</v>
      </c>
      <c r="J4" s="281" t="s">
        <v>1364</v>
      </c>
      <c r="K4" s="12">
        <v>3350</v>
      </c>
      <c r="L4" s="12">
        <v>0</v>
      </c>
      <c r="M4" s="13">
        <v>100</v>
      </c>
      <c r="N4" s="13">
        <f t="shared" si="0"/>
        <v>3450</v>
      </c>
      <c r="O4" s="12">
        <v>0</v>
      </c>
      <c r="Q4" s="74">
        <v>46182</v>
      </c>
      <c r="R4" s="135">
        <f>50000-1360</f>
        <v>48640</v>
      </c>
    </row>
    <row r="5" spans="1:18">
      <c r="A5" s="7" t="s">
        <v>1367</v>
      </c>
      <c r="B5" s="7" t="s">
        <v>7</v>
      </c>
      <c r="C5" s="7" t="s">
        <v>7</v>
      </c>
      <c r="D5" s="7" t="s">
        <v>1362</v>
      </c>
      <c r="E5" s="211" t="s">
        <v>1368</v>
      </c>
      <c r="F5" s="9">
        <v>46031</v>
      </c>
      <c r="G5" s="220">
        <v>46094</v>
      </c>
      <c r="H5" s="7" t="s">
        <v>84</v>
      </c>
      <c r="I5" s="212" t="s">
        <v>1369</v>
      </c>
      <c r="J5" s="281" t="s">
        <v>1370</v>
      </c>
      <c r="K5" s="12">
        <v>3350</v>
      </c>
      <c r="L5" s="12">
        <v>0</v>
      </c>
      <c r="M5" s="13">
        <v>100</v>
      </c>
      <c r="N5" s="13">
        <f t="shared" si="0"/>
        <v>3450</v>
      </c>
      <c r="O5" s="12">
        <v>0</v>
      </c>
      <c r="Q5" s="74">
        <v>46261</v>
      </c>
      <c r="R5" s="135">
        <v>40755</v>
      </c>
    </row>
    <row r="6" spans="1:18">
      <c r="A6" s="7" t="s">
        <v>1371</v>
      </c>
      <c r="B6" s="7" t="s">
        <v>7</v>
      </c>
      <c r="C6" s="7" t="s">
        <v>7</v>
      </c>
      <c r="D6" s="7" t="s">
        <v>1362</v>
      </c>
      <c r="E6" s="211" t="s">
        <v>1372</v>
      </c>
      <c r="F6" s="9">
        <v>46038</v>
      </c>
      <c r="G6" s="220">
        <v>46106</v>
      </c>
      <c r="H6" s="7" t="s">
        <v>84</v>
      </c>
      <c r="I6" s="212" t="s">
        <v>1369</v>
      </c>
      <c r="J6" s="281" t="s">
        <v>1370</v>
      </c>
      <c r="K6" s="12">
        <v>3250</v>
      </c>
      <c r="L6" s="12">
        <v>0</v>
      </c>
      <c r="M6" s="13">
        <v>0</v>
      </c>
      <c r="N6" s="13">
        <f t="shared" si="0"/>
        <v>3250</v>
      </c>
      <c r="O6" s="12">
        <v>0</v>
      </c>
      <c r="Q6" s="74">
        <v>46283</v>
      </c>
      <c r="R6" s="135">
        <v>40100</v>
      </c>
    </row>
    <row r="7" spans="1:18">
      <c r="A7" s="7" t="s">
        <v>1373</v>
      </c>
      <c r="B7" s="7" t="s">
        <v>7</v>
      </c>
      <c r="C7" s="7" t="s">
        <v>7</v>
      </c>
      <c r="D7" s="7" t="s">
        <v>1362</v>
      </c>
      <c r="E7" s="211" t="s">
        <v>1374</v>
      </c>
      <c r="F7" s="9">
        <v>46044</v>
      </c>
      <c r="G7" s="220">
        <v>46060</v>
      </c>
      <c r="H7" s="7" t="s">
        <v>100</v>
      </c>
      <c r="I7" s="212" t="s">
        <v>645</v>
      </c>
      <c r="J7" s="281" t="s">
        <v>1364</v>
      </c>
      <c r="K7" s="12">
        <v>2600</v>
      </c>
      <c r="L7" s="12">
        <v>0</v>
      </c>
      <c r="M7" s="13">
        <v>0</v>
      </c>
      <c r="N7" s="13">
        <f t="shared" si="0"/>
        <v>2600</v>
      </c>
      <c r="O7" s="12">
        <v>0</v>
      </c>
    </row>
    <row r="8" spans="1:18">
      <c r="A8" s="7" t="s">
        <v>1375</v>
      </c>
      <c r="B8" s="7" t="s">
        <v>7</v>
      </c>
      <c r="C8" s="7" t="s">
        <v>7</v>
      </c>
      <c r="D8" s="7" t="s">
        <v>1362</v>
      </c>
      <c r="E8" s="211" t="s">
        <v>1376</v>
      </c>
      <c r="F8" s="9">
        <v>46053</v>
      </c>
      <c r="G8" s="220">
        <v>46074</v>
      </c>
      <c r="H8" s="7" t="s">
        <v>65</v>
      </c>
      <c r="I8" s="212" t="s">
        <v>645</v>
      </c>
      <c r="J8" s="281" t="s">
        <v>1370</v>
      </c>
      <c r="K8" s="12">
        <v>3300</v>
      </c>
      <c r="L8" s="12">
        <v>0</v>
      </c>
      <c r="M8" s="13">
        <v>0</v>
      </c>
      <c r="N8" s="13">
        <f t="shared" si="0"/>
        <v>3300</v>
      </c>
      <c r="O8" s="12">
        <v>0</v>
      </c>
    </row>
    <row r="9" spans="1:18">
      <c r="A9" s="7" t="s">
        <v>1377</v>
      </c>
      <c r="B9" s="7" t="s">
        <v>7</v>
      </c>
      <c r="C9" s="7" t="s">
        <v>7</v>
      </c>
      <c r="D9" s="7" t="s">
        <v>1362</v>
      </c>
      <c r="E9" s="211" t="s">
        <v>1378</v>
      </c>
      <c r="F9" s="9">
        <v>46053</v>
      </c>
      <c r="G9" s="220">
        <v>46074</v>
      </c>
      <c r="H9" s="7" t="s">
        <v>65</v>
      </c>
      <c r="I9" s="212" t="s">
        <v>645</v>
      </c>
      <c r="J9" s="281" t="s">
        <v>1370</v>
      </c>
      <c r="K9" s="12">
        <v>3300</v>
      </c>
      <c r="L9" s="12">
        <v>0</v>
      </c>
      <c r="M9" s="13">
        <v>0</v>
      </c>
      <c r="N9" s="13">
        <f t="shared" si="0"/>
        <v>3300</v>
      </c>
      <c r="O9" s="12">
        <v>0</v>
      </c>
    </row>
    <row r="10" spans="1:18">
      <c r="A10" s="7" t="s">
        <v>1379</v>
      </c>
      <c r="B10" s="7" t="s">
        <v>7</v>
      </c>
      <c r="C10" s="7" t="s">
        <v>7</v>
      </c>
      <c r="D10" s="7" t="s">
        <v>1362</v>
      </c>
      <c r="E10" s="211" t="s">
        <v>1380</v>
      </c>
      <c r="F10" s="9">
        <v>46060</v>
      </c>
      <c r="G10" s="220">
        <v>46080</v>
      </c>
      <c r="H10" s="7" t="s">
        <v>65</v>
      </c>
      <c r="I10" s="212" t="s">
        <v>66</v>
      </c>
      <c r="J10" s="281" t="s">
        <v>1364</v>
      </c>
      <c r="K10" s="12">
        <v>3000</v>
      </c>
      <c r="L10" s="12">
        <v>0</v>
      </c>
      <c r="M10" s="13">
        <v>0</v>
      </c>
      <c r="N10" s="13">
        <f t="shared" si="0"/>
        <v>3000</v>
      </c>
      <c r="O10" s="12">
        <v>0</v>
      </c>
    </row>
    <row r="11" spans="1:18">
      <c r="A11" s="7" t="s">
        <v>1381</v>
      </c>
      <c r="B11" s="7" t="s">
        <v>7</v>
      </c>
      <c r="C11" s="7" t="s">
        <v>7</v>
      </c>
      <c r="D11" s="7" t="s">
        <v>1362</v>
      </c>
      <c r="E11" s="211" t="s">
        <v>1382</v>
      </c>
      <c r="F11" s="9">
        <v>46061</v>
      </c>
      <c r="G11" s="220">
        <v>46113</v>
      </c>
      <c r="H11" s="7" t="s">
        <v>84</v>
      </c>
      <c r="I11" s="212" t="s">
        <v>1369</v>
      </c>
      <c r="J11" s="281" t="s">
        <v>1370</v>
      </c>
      <c r="K11" s="12">
        <v>3200</v>
      </c>
      <c r="L11" s="12">
        <v>0</v>
      </c>
      <c r="M11" s="13">
        <v>0</v>
      </c>
      <c r="N11" s="13">
        <f t="shared" si="0"/>
        <v>3200</v>
      </c>
      <c r="O11" s="12">
        <v>0</v>
      </c>
    </row>
    <row r="12" spans="1:18">
      <c r="A12" s="7" t="s">
        <v>1383</v>
      </c>
      <c r="B12" s="7" t="s">
        <v>7</v>
      </c>
      <c r="C12" s="7" t="s">
        <v>7</v>
      </c>
      <c r="D12" s="7" t="s">
        <v>1362</v>
      </c>
      <c r="E12" s="211" t="s">
        <v>1384</v>
      </c>
      <c r="F12" s="9">
        <v>46063</v>
      </c>
      <c r="G12" s="220">
        <v>46079</v>
      </c>
      <c r="H12" s="7" t="s">
        <v>65</v>
      </c>
      <c r="I12" s="212" t="s">
        <v>66</v>
      </c>
      <c r="J12" s="281" t="s">
        <v>1370</v>
      </c>
      <c r="K12" s="12">
        <v>3000</v>
      </c>
      <c r="L12" s="12">
        <v>0</v>
      </c>
      <c r="M12" s="13">
        <v>0</v>
      </c>
      <c r="N12" s="13">
        <f t="shared" si="0"/>
        <v>3000</v>
      </c>
      <c r="O12" s="12">
        <v>0</v>
      </c>
    </row>
    <row r="13" spans="1:18">
      <c r="A13" s="7" t="s">
        <v>1385</v>
      </c>
      <c r="B13" s="7" t="s">
        <v>7</v>
      </c>
      <c r="C13" s="7" t="s">
        <v>7</v>
      </c>
      <c r="D13" s="7" t="s">
        <v>1362</v>
      </c>
      <c r="E13" s="211" t="s">
        <v>1386</v>
      </c>
      <c r="F13" s="9">
        <v>46063</v>
      </c>
      <c r="G13" s="220">
        <v>46080</v>
      </c>
      <c r="H13" s="7" t="s">
        <v>100</v>
      </c>
      <c r="I13" s="212" t="s">
        <v>621</v>
      </c>
      <c r="J13" s="281" t="s">
        <v>1364</v>
      </c>
      <c r="K13" s="12">
        <v>2550</v>
      </c>
      <c r="L13" s="12">
        <v>0</v>
      </c>
      <c r="M13" s="13">
        <v>100</v>
      </c>
      <c r="N13" s="13">
        <f t="shared" si="0"/>
        <v>2650</v>
      </c>
      <c r="O13" s="12">
        <v>0</v>
      </c>
    </row>
    <row r="14" spans="1:18">
      <c r="A14" s="7" t="s">
        <v>1387</v>
      </c>
      <c r="B14" s="7" t="s">
        <v>7</v>
      </c>
      <c r="C14" s="7" t="s">
        <v>7</v>
      </c>
      <c r="D14" s="7" t="s">
        <v>1362</v>
      </c>
      <c r="E14" s="211" t="s">
        <v>1388</v>
      </c>
      <c r="F14" s="9">
        <v>46063</v>
      </c>
      <c r="G14" s="220">
        <v>46091</v>
      </c>
      <c r="H14" s="7" t="s">
        <v>65</v>
      </c>
      <c r="I14" s="212" t="s">
        <v>645</v>
      </c>
      <c r="J14" s="281" t="s">
        <v>1370</v>
      </c>
      <c r="K14" s="12">
        <v>3080</v>
      </c>
      <c r="L14" s="12">
        <v>0</v>
      </c>
      <c r="M14" s="13">
        <v>0</v>
      </c>
      <c r="N14" s="13">
        <f t="shared" si="0"/>
        <v>3080</v>
      </c>
      <c r="O14" s="12">
        <v>0</v>
      </c>
    </row>
    <row r="15" spans="1:18">
      <c r="A15" s="7" t="s">
        <v>1389</v>
      </c>
      <c r="B15" s="7" t="s">
        <v>7</v>
      </c>
      <c r="C15" s="7" t="s">
        <v>7</v>
      </c>
      <c r="D15" s="7" t="s">
        <v>1362</v>
      </c>
      <c r="E15" s="211" t="s">
        <v>1390</v>
      </c>
      <c r="F15" s="9">
        <v>46063</v>
      </c>
      <c r="G15" s="220">
        <v>46092</v>
      </c>
      <c r="H15" s="7" t="s">
        <v>65</v>
      </c>
      <c r="I15" s="212" t="s">
        <v>645</v>
      </c>
      <c r="J15" s="281" t="s">
        <v>1370</v>
      </c>
      <c r="K15" s="12">
        <v>3000</v>
      </c>
      <c r="L15" s="12">
        <v>0</v>
      </c>
      <c r="M15" s="13">
        <v>0</v>
      </c>
      <c r="N15" s="13">
        <f t="shared" si="0"/>
        <v>3000</v>
      </c>
      <c r="O15" s="12">
        <v>0</v>
      </c>
    </row>
    <row r="16" spans="1:18">
      <c r="A16" s="7" t="s">
        <v>1391</v>
      </c>
      <c r="B16" s="7" t="s">
        <v>7</v>
      </c>
      <c r="C16" s="7" t="s">
        <v>7</v>
      </c>
      <c r="D16" s="7" t="s">
        <v>1362</v>
      </c>
      <c r="E16" s="211" t="s">
        <v>1392</v>
      </c>
      <c r="F16" s="9">
        <v>46072</v>
      </c>
      <c r="G16" s="220">
        <v>46104</v>
      </c>
      <c r="H16" s="7" t="s">
        <v>65</v>
      </c>
      <c r="I16" s="212" t="s">
        <v>645</v>
      </c>
      <c r="J16" s="281" t="s">
        <v>1370</v>
      </c>
      <c r="K16" s="12">
        <v>2550</v>
      </c>
      <c r="L16" s="12">
        <v>0</v>
      </c>
      <c r="M16" s="13">
        <v>100</v>
      </c>
      <c r="N16" s="13">
        <f t="shared" si="0"/>
        <v>2650</v>
      </c>
      <c r="O16" s="12">
        <v>0</v>
      </c>
    </row>
    <row r="17" spans="1:17">
      <c r="A17" s="7" t="s">
        <v>1393</v>
      </c>
      <c r="B17" s="7" t="s">
        <v>7</v>
      </c>
      <c r="C17" s="7" t="s">
        <v>7</v>
      </c>
      <c r="D17" s="7" t="s">
        <v>1362</v>
      </c>
      <c r="E17" s="211" t="s">
        <v>1394</v>
      </c>
      <c r="F17" s="9">
        <v>46072</v>
      </c>
      <c r="G17" s="220">
        <v>46113</v>
      </c>
      <c r="H17" s="7" t="s">
        <v>84</v>
      </c>
      <c r="I17" s="212" t="s">
        <v>1164</v>
      </c>
      <c r="J17" s="281" t="s">
        <v>1370</v>
      </c>
      <c r="K17" s="12">
        <v>3250</v>
      </c>
      <c r="L17" s="12">
        <v>0</v>
      </c>
      <c r="M17" s="13">
        <v>100</v>
      </c>
      <c r="N17" s="13">
        <f t="shared" si="0"/>
        <v>3350</v>
      </c>
      <c r="O17" s="12">
        <v>0</v>
      </c>
      <c r="Q17" s="25"/>
    </row>
    <row r="18" spans="1:17">
      <c r="A18" s="7" t="s">
        <v>1395</v>
      </c>
      <c r="B18" s="7" t="s">
        <v>7</v>
      </c>
      <c r="C18" s="7" t="s">
        <v>7</v>
      </c>
      <c r="D18" s="7" t="s">
        <v>1362</v>
      </c>
      <c r="E18" s="211" t="s">
        <v>1396</v>
      </c>
      <c r="F18" s="9">
        <v>46088</v>
      </c>
      <c r="G18" s="220">
        <v>46127</v>
      </c>
      <c r="H18" s="7" t="s">
        <v>84</v>
      </c>
      <c r="I18" s="212" t="s">
        <v>1164</v>
      </c>
      <c r="J18" s="281" t="s">
        <v>1370</v>
      </c>
      <c r="K18" s="12">
        <v>3000</v>
      </c>
      <c r="L18" s="12">
        <v>0</v>
      </c>
      <c r="M18" s="13">
        <v>100</v>
      </c>
      <c r="N18" s="13">
        <f t="shared" si="0"/>
        <v>3100</v>
      </c>
      <c r="O18" s="12">
        <v>0</v>
      </c>
      <c r="Q18" s="45"/>
    </row>
    <row r="19" spans="1:17">
      <c r="A19" s="7" t="s">
        <v>1397</v>
      </c>
      <c r="B19" s="7" t="s">
        <v>7</v>
      </c>
      <c r="C19" s="7" t="s">
        <v>7</v>
      </c>
      <c r="D19" s="7" t="s">
        <v>1362</v>
      </c>
      <c r="E19" s="211" t="s">
        <v>1398</v>
      </c>
      <c r="F19" s="9">
        <v>46121</v>
      </c>
      <c r="G19" s="220">
        <v>46137</v>
      </c>
      <c r="H19" s="7" t="s">
        <v>100</v>
      </c>
      <c r="I19" s="212" t="s">
        <v>645</v>
      </c>
      <c r="J19" s="281" t="s">
        <v>1370</v>
      </c>
      <c r="K19" s="12">
        <v>3700</v>
      </c>
      <c r="L19" s="12">
        <v>0</v>
      </c>
      <c r="M19" s="13">
        <v>0</v>
      </c>
      <c r="N19" s="13">
        <f t="shared" si="0"/>
        <v>3700</v>
      </c>
      <c r="O19" s="12">
        <v>0</v>
      </c>
      <c r="Q19" s="45"/>
    </row>
    <row r="20" spans="1:17">
      <c r="A20" s="7" t="s">
        <v>1399</v>
      </c>
      <c r="B20" s="7" t="s">
        <v>7</v>
      </c>
      <c r="C20" s="7" t="s">
        <v>7</v>
      </c>
      <c r="D20" s="7" t="s">
        <v>1362</v>
      </c>
      <c r="E20" s="211" t="s">
        <v>1400</v>
      </c>
      <c r="F20" s="9">
        <v>46127</v>
      </c>
      <c r="G20" s="220">
        <v>46169</v>
      </c>
      <c r="H20" s="7" t="s">
        <v>84</v>
      </c>
      <c r="I20" s="212" t="s">
        <v>1164</v>
      </c>
      <c r="J20" s="281" t="s">
        <v>1370</v>
      </c>
      <c r="K20" s="12">
        <v>4250</v>
      </c>
      <c r="L20" s="12">
        <v>0</v>
      </c>
      <c r="M20" s="13">
        <v>0</v>
      </c>
      <c r="N20" s="13">
        <f t="shared" si="0"/>
        <v>4250</v>
      </c>
      <c r="O20" s="12">
        <v>0</v>
      </c>
    </row>
    <row r="21" spans="1:17">
      <c r="A21" s="7" t="s">
        <v>1401</v>
      </c>
      <c r="B21" s="7" t="s">
        <v>7</v>
      </c>
      <c r="C21" s="7" t="s">
        <v>7</v>
      </c>
      <c r="D21" s="7" t="s">
        <v>1362</v>
      </c>
      <c r="E21" s="211" t="s">
        <v>1402</v>
      </c>
      <c r="F21" s="9">
        <v>46130</v>
      </c>
      <c r="G21" s="220">
        <v>46176</v>
      </c>
      <c r="H21" s="7" t="s">
        <v>84</v>
      </c>
      <c r="I21" s="212" t="s">
        <v>1164</v>
      </c>
      <c r="J21" s="281" t="s">
        <v>1370</v>
      </c>
      <c r="K21" s="12">
        <v>4250</v>
      </c>
      <c r="L21" s="12">
        <v>0</v>
      </c>
      <c r="M21" s="13">
        <v>0</v>
      </c>
      <c r="N21" s="13">
        <f t="shared" si="0"/>
        <v>4250</v>
      </c>
      <c r="O21" s="12">
        <v>0</v>
      </c>
    </row>
    <row r="22" spans="1:17">
      <c r="A22" s="7" t="s">
        <v>1403</v>
      </c>
      <c r="B22" s="7" t="s">
        <v>7</v>
      </c>
      <c r="C22" s="7" t="s">
        <v>7</v>
      </c>
      <c r="D22" s="7" t="s">
        <v>1362</v>
      </c>
      <c r="E22" s="211" t="s">
        <v>1404</v>
      </c>
      <c r="F22" s="9">
        <v>46153</v>
      </c>
      <c r="G22" s="220">
        <v>46169</v>
      </c>
      <c r="H22" s="7" t="s">
        <v>149</v>
      </c>
      <c r="I22" s="212" t="s">
        <v>645</v>
      </c>
      <c r="J22" s="281" t="s">
        <v>1364</v>
      </c>
      <c r="K22" s="12">
        <v>3700</v>
      </c>
      <c r="L22" s="12">
        <v>0</v>
      </c>
      <c r="M22" s="13">
        <v>0</v>
      </c>
      <c r="N22" s="13">
        <f t="shared" si="0"/>
        <v>3700</v>
      </c>
      <c r="O22" s="12">
        <v>0</v>
      </c>
    </row>
    <row r="23" spans="1:17">
      <c r="A23" s="7" t="s">
        <v>1405</v>
      </c>
      <c r="B23" s="7" t="s">
        <v>7</v>
      </c>
      <c r="C23" s="7" t="s">
        <v>7</v>
      </c>
      <c r="D23" s="7" t="s">
        <v>1362</v>
      </c>
      <c r="E23" s="211" t="s">
        <v>1406</v>
      </c>
      <c r="F23" s="354">
        <v>46173</v>
      </c>
      <c r="G23" s="355">
        <v>46191</v>
      </c>
      <c r="H23" s="7" t="s">
        <v>149</v>
      </c>
      <c r="I23" s="212" t="s">
        <v>645</v>
      </c>
      <c r="J23" s="281" t="s">
        <v>1370</v>
      </c>
      <c r="K23" s="12">
        <v>4050</v>
      </c>
      <c r="L23" s="12">
        <v>0</v>
      </c>
      <c r="M23" s="13">
        <v>100</v>
      </c>
      <c r="N23" s="13">
        <f t="shared" si="0"/>
        <v>4150</v>
      </c>
      <c r="O23" s="12">
        <v>0</v>
      </c>
    </row>
    <row r="24" spans="1:17">
      <c r="A24" s="7" t="s">
        <v>1407</v>
      </c>
      <c r="B24" s="7" t="s">
        <v>7</v>
      </c>
      <c r="C24" s="7" t="s">
        <v>7</v>
      </c>
      <c r="D24" s="7" t="s">
        <v>1362</v>
      </c>
      <c r="E24" s="211" t="s">
        <v>1408</v>
      </c>
      <c r="F24" s="354">
        <v>46178</v>
      </c>
      <c r="G24" s="355">
        <v>46222</v>
      </c>
      <c r="H24" s="7" t="s">
        <v>65</v>
      </c>
      <c r="I24" s="212" t="s">
        <v>1409</v>
      </c>
      <c r="J24" s="281" t="s">
        <v>1370</v>
      </c>
      <c r="K24" s="12">
        <v>1690</v>
      </c>
      <c r="L24" s="12">
        <v>0</v>
      </c>
      <c r="M24" s="13">
        <v>0</v>
      </c>
      <c r="N24" s="13">
        <f t="shared" si="0"/>
        <v>1690</v>
      </c>
      <c r="O24" s="12">
        <v>0</v>
      </c>
    </row>
    <row r="25" spans="1:17">
      <c r="A25" s="7" t="s">
        <v>1410</v>
      </c>
      <c r="B25" s="7" t="s">
        <v>7</v>
      </c>
      <c r="C25" s="7" t="s">
        <v>7</v>
      </c>
      <c r="D25" s="7" t="s">
        <v>1362</v>
      </c>
      <c r="E25" s="211" t="s">
        <v>1411</v>
      </c>
      <c r="F25" s="354">
        <v>46187</v>
      </c>
      <c r="G25" s="355">
        <v>46204</v>
      </c>
      <c r="H25" s="7" t="s">
        <v>149</v>
      </c>
      <c r="I25" s="212" t="s">
        <v>645</v>
      </c>
      <c r="J25" s="281" t="s">
        <v>1370</v>
      </c>
      <c r="K25" s="12">
        <v>5750</v>
      </c>
      <c r="L25" s="12">
        <v>0</v>
      </c>
      <c r="M25" s="13">
        <v>0</v>
      </c>
      <c r="N25" s="13">
        <f t="shared" si="0"/>
        <v>5750</v>
      </c>
      <c r="O25" s="12">
        <v>0</v>
      </c>
    </row>
    <row r="26" spans="1:17">
      <c r="A26" s="7" t="s">
        <v>1412</v>
      </c>
      <c r="B26" s="7" t="s">
        <v>7</v>
      </c>
      <c r="C26" s="7" t="s">
        <v>7</v>
      </c>
      <c r="D26" s="7" t="s">
        <v>1362</v>
      </c>
      <c r="E26" s="211" t="s">
        <v>1413</v>
      </c>
      <c r="F26" s="354">
        <v>46192</v>
      </c>
      <c r="G26" s="355">
        <v>46246</v>
      </c>
      <c r="H26" s="7" t="s">
        <v>1022</v>
      </c>
      <c r="I26" s="212" t="s">
        <v>1164</v>
      </c>
      <c r="J26" s="281" t="s">
        <v>1370</v>
      </c>
      <c r="K26" s="12">
        <v>5580</v>
      </c>
      <c r="L26" s="12">
        <v>0</v>
      </c>
      <c r="M26" s="13">
        <v>0</v>
      </c>
      <c r="N26" s="13">
        <f t="shared" si="0"/>
        <v>5580</v>
      </c>
      <c r="O26" s="12">
        <v>0</v>
      </c>
    </row>
    <row r="27" spans="1:17">
      <c r="A27" s="7" t="s">
        <v>1414</v>
      </c>
      <c r="B27" s="7" t="s">
        <v>7</v>
      </c>
      <c r="C27" s="7" t="s">
        <v>7</v>
      </c>
      <c r="D27" s="7" t="s">
        <v>1362</v>
      </c>
      <c r="E27" s="211" t="s">
        <v>1415</v>
      </c>
      <c r="F27" s="354">
        <v>46201</v>
      </c>
      <c r="G27" s="355">
        <v>46220</v>
      </c>
      <c r="H27" s="7" t="s">
        <v>149</v>
      </c>
      <c r="I27" s="212" t="s">
        <v>645</v>
      </c>
      <c r="J27" s="281" t="s">
        <v>1370</v>
      </c>
      <c r="K27" s="12">
        <v>7450</v>
      </c>
      <c r="L27" s="12">
        <v>0</v>
      </c>
      <c r="M27" s="13">
        <v>0</v>
      </c>
      <c r="N27" s="13">
        <f t="shared" si="0"/>
        <v>7450</v>
      </c>
      <c r="O27" s="12">
        <v>0</v>
      </c>
    </row>
    <row r="28" spans="1:17">
      <c r="A28" s="7" t="s">
        <v>1416</v>
      </c>
      <c r="B28" s="7" t="s">
        <v>7</v>
      </c>
      <c r="C28" s="7" t="s">
        <v>7</v>
      </c>
      <c r="D28" s="7" t="s">
        <v>1362</v>
      </c>
      <c r="E28" s="211" t="s">
        <v>1417</v>
      </c>
      <c r="F28" s="354">
        <v>46215</v>
      </c>
      <c r="G28" s="355">
        <v>46235</v>
      </c>
      <c r="H28" s="7" t="s">
        <v>149</v>
      </c>
      <c r="I28" s="212" t="s">
        <v>645</v>
      </c>
      <c r="J28" s="281" t="s">
        <v>1370</v>
      </c>
      <c r="K28" s="12">
        <v>8450</v>
      </c>
      <c r="L28" s="12">
        <v>0</v>
      </c>
      <c r="M28" s="13">
        <v>0</v>
      </c>
      <c r="N28" s="13">
        <f t="shared" si="0"/>
        <v>8450</v>
      </c>
      <c r="O28" s="12">
        <v>0</v>
      </c>
    </row>
    <row r="29" spans="1:17">
      <c r="A29" s="7" t="s">
        <v>1418</v>
      </c>
      <c r="B29" s="7" t="s">
        <v>7</v>
      </c>
      <c r="C29" s="7" t="s">
        <v>7</v>
      </c>
      <c r="D29" s="7" t="s">
        <v>1362</v>
      </c>
      <c r="E29" s="211" t="s">
        <v>1419</v>
      </c>
      <c r="F29" s="354">
        <v>46215</v>
      </c>
      <c r="G29" s="355">
        <v>46235</v>
      </c>
      <c r="H29" s="7" t="s">
        <v>149</v>
      </c>
      <c r="I29" s="212" t="s">
        <v>645</v>
      </c>
      <c r="J29" s="281" t="s">
        <v>1370</v>
      </c>
      <c r="K29" s="12">
        <v>8450</v>
      </c>
      <c r="L29" s="12">
        <v>0</v>
      </c>
      <c r="M29" s="13">
        <v>0</v>
      </c>
      <c r="N29" s="13">
        <f t="shared" si="0"/>
        <v>8450</v>
      </c>
      <c r="O29" s="12">
        <v>0</v>
      </c>
    </row>
    <row r="30" spans="1:17">
      <c r="A30" s="7" t="s">
        <v>1420</v>
      </c>
      <c r="B30" s="7" t="s">
        <v>7</v>
      </c>
      <c r="C30" s="7" t="s">
        <v>7</v>
      </c>
      <c r="D30" s="7" t="s">
        <v>1362</v>
      </c>
      <c r="E30" s="211" t="s">
        <v>1421</v>
      </c>
      <c r="F30" s="9">
        <v>46221</v>
      </c>
      <c r="G30" s="220">
        <v>46273</v>
      </c>
      <c r="H30" s="7" t="s">
        <v>65</v>
      </c>
      <c r="I30" s="212" t="s">
        <v>1409</v>
      </c>
      <c r="J30" s="281" t="s">
        <v>1370</v>
      </c>
      <c r="K30" s="12">
        <v>2400</v>
      </c>
      <c r="L30" s="12">
        <v>0</v>
      </c>
      <c r="M30" s="13">
        <v>0</v>
      </c>
      <c r="N30" s="13">
        <f t="shared" si="0"/>
        <v>2400</v>
      </c>
      <c r="O30" s="12">
        <v>0</v>
      </c>
    </row>
    <row r="31" spans="1:17">
      <c r="A31" s="7" t="s">
        <v>1422</v>
      </c>
      <c r="B31" s="7" t="s">
        <v>7</v>
      </c>
      <c r="C31" s="7" t="s">
        <v>7</v>
      </c>
      <c r="D31" s="7" t="s">
        <v>1362</v>
      </c>
      <c r="E31" s="211" t="s">
        <v>1423</v>
      </c>
      <c r="F31" s="9">
        <v>46231</v>
      </c>
      <c r="G31" s="220">
        <v>46251</v>
      </c>
      <c r="H31" s="7" t="s">
        <v>1424</v>
      </c>
      <c r="I31" s="212" t="s">
        <v>648</v>
      </c>
      <c r="J31" s="281" t="s">
        <v>1364</v>
      </c>
      <c r="K31" s="12">
        <v>6400</v>
      </c>
      <c r="L31" s="12">
        <v>0</v>
      </c>
      <c r="M31" s="13">
        <v>0</v>
      </c>
      <c r="N31" s="13">
        <f t="shared" si="0"/>
        <v>6400</v>
      </c>
      <c r="O31" s="12">
        <v>0</v>
      </c>
    </row>
    <row r="32" spans="1:17">
      <c r="A32" s="7" t="s">
        <v>1425</v>
      </c>
      <c r="B32" s="7" t="s">
        <v>7</v>
      </c>
      <c r="C32" s="7" t="s">
        <v>7</v>
      </c>
      <c r="D32" s="7" t="s">
        <v>1362</v>
      </c>
      <c r="E32" s="211" t="s">
        <v>1426</v>
      </c>
      <c r="F32" s="9">
        <v>46235</v>
      </c>
      <c r="G32" s="220">
        <v>46253</v>
      </c>
      <c r="H32" s="7" t="s">
        <v>100</v>
      </c>
      <c r="I32" s="212" t="s">
        <v>645</v>
      </c>
      <c r="J32" s="281" t="s">
        <v>1364</v>
      </c>
      <c r="K32" s="12">
        <v>8400</v>
      </c>
      <c r="L32" s="12">
        <v>0</v>
      </c>
      <c r="M32" s="13">
        <v>0</v>
      </c>
      <c r="N32" s="13">
        <f t="shared" si="0"/>
        <v>8400</v>
      </c>
      <c r="O32" s="12">
        <v>0</v>
      </c>
    </row>
    <row r="33" spans="1:15">
      <c r="A33" s="32" t="s">
        <v>1427</v>
      </c>
      <c r="B33" s="32" t="s">
        <v>7</v>
      </c>
      <c r="C33" s="32" t="s">
        <v>7</v>
      </c>
      <c r="D33" s="32" t="s">
        <v>1362</v>
      </c>
      <c r="E33" s="106" t="s">
        <v>1428</v>
      </c>
      <c r="F33" s="34">
        <v>46235</v>
      </c>
      <c r="G33" s="105">
        <v>46253</v>
      </c>
      <c r="H33" s="32" t="s">
        <v>100</v>
      </c>
      <c r="I33" s="77" t="s">
        <v>645</v>
      </c>
      <c r="J33" s="202" t="s">
        <v>1364</v>
      </c>
      <c r="K33" s="81">
        <v>8400</v>
      </c>
      <c r="L33" s="81">
        <v>0</v>
      </c>
      <c r="M33" s="113">
        <v>100</v>
      </c>
      <c r="N33" s="113">
        <f t="shared" si="0"/>
        <v>8500</v>
      </c>
      <c r="O33" s="81">
        <v>2605</v>
      </c>
    </row>
    <row r="34" spans="1:15">
      <c r="A34" s="32" t="s">
        <v>1429</v>
      </c>
      <c r="B34" s="32" t="s">
        <v>7</v>
      </c>
      <c r="C34" s="32" t="s">
        <v>7</v>
      </c>
      <c r="D34" s="32" t="s">
        <v>1362</v>
      </c>
      <c r="E34" s="106" t="s">
        <v>1430</v>
      </c>
      <c r="F34" s="34">
        <v>46235</v>
      </c>
      <c r="G34" s="105">
        <v>46253</v>
      </c>
      <c r="H34" s="32" t="s">
        <v>100</v>
      </c>
      <c r="I34" s="77" t="s">
        <v>645</v>
      </c>
      <c r="J34" s="202" t="s">
        <v>1364</v>
      </c>
      <c r="K34" s="81">
        <v>8400</v>
      </c>
      <c r="L34" s="81">
        <v>0</v>
      </c>
      <c r="M34" s="113">
        <v>100</v>
      </c>
      <c r="N34" s="113">
        <f t="shared" si="0"/>
        <v>8500</v>
      </c>
      <c r="O34" s="81">
        <f t="shared" ref="O34:O55" si="1">N34</f>
        <v>8500</v>
      </c>
    </row>
    <row r="35" spans="1:15">
      <c r="A35" s="32" t="s">
        <v>1431</v>
      </c>
      <c r="B35" s="32" t="s">
        <v>7</v>
      </c>
      <c r="C35" s="32" t="s">
        <v>7</v>
      </c>
      <c r="D35" s="32" t="s">
        <v>1362</v>
      </c>
      <c r="E35" s="106" t="s">
        <v>1432</v>
      </c>
      <c r="F35" s="34">
        <v>46238</v>
      </c>
      <c r="G35" s="105">
        <v>46254</v>
      </c>
      <c r="H35" s="32" t="s">
        <v>100</v>
      </c>
      <c r="I35" s="77" t="s">
        <v>645</v>
      </c>
      <c r="J35" s="202" t="s">
        <v>1364</v>
      </c>
      <c r="K35" s="81">
        <v>8400</v>
      </c>
      <c r="L35" s="81">
        <v>0</v>
      </c>
      <c r="M35" s="113">
        <v>100</v>
      </c>
      <c r="N35" s="113">
        <f t="shared" ref="N35:N55" si="2">SUM(K35:M35)</f>
        <v>8500</v>
      </c>
      <c r="O35" s="81">
        <f t="shared" si="1"/>
        <v>8500</v>
      </c>
    </row>
    <row r="36" spans="1:15">
      <c r="A36" s="32" t="s">
        <v>1433</v>
      </c>
      <c r="B36" s="32" t="s">
        <v>7</v>
      </c>
      <c r="C36" s="32" t="s">
        <v>7</v>
      </c>
      <c r="D36" s="32" t="s">
        <v>1362</v>
      </c>
      <c r="E36" s="106" t="s">
        <v>1434</v>
      </c>
      <c r="F36" s="34">
        <v>46238</v>
      </c>
      <c r="G36" s="105">
        <v>46254</v>
      </c>
      <c r="H36" s="32" t="s">
        <v>100</v>
      </c>
      <c r="I36" s="77" t="s">
        <v>645</v>
      </c>
      <c r="J36" s="202" t="s">
        <v>1364</v>
      </c>
      <c r="K36" s="81">
        <v>8400</v>
      </c>
      <c r="L36" s="81">
        <v>0</v>
      </c>
      <c r="M36" s="113">
        <v>100</v>
      </c>
      <c r="N36" s="113">
        <f t="shared" si="2"/>
        <v>8500</v>
      </c>
      <c r="O36" s="81">
        <f t="shared" si="1"/>
        <v>8500</v>
      </c>
    </row>
    <row r="37" spans="1:15">
      <c r="A37" s="32" t="s">
        <v>1435</v>
      </c>
      <c r="B37" s="32" t="s">
        <v>7</v>
      </c>
      <c r="C37" s="32" t="s">
        <v>7</v>
      </c>
      <c r="D37" s="32" t="s">
        <v>1362</v>
      </c>
      <c r="E37" s="106" t="s">
        <v>1436</v>
      </c>
      <c r="F37" s="34">
        <v>46238</v>
      </c>
      <c r="G37" s="105">
        <v>46254</v>
      </c>
      <c r="H37" s="32" t="s">
        <v>100</v>
      </c>
      <c r="I37" s="77" t="s">
        <v>645</v>
      </c>
      <c r="J37" s="202" t="s">
        <v>1364</v>
      </c>
      <c r="K37" s="81">
        <v>8400</v>
      </c>
      <c r="L37" s="81">
        <v>0</v>
      </c>
      <c r="M37" s="113">
        <v>100</v>
      </c>
      <c r="N37" s="113">
        <f t="shared" si="2"/>
        <v>8500</v>
      </c>
      <c r="O37" s="81">
        <f t="shared" si="1"/>
        <v>8500</v>
      </c>
    </row>
    <row r="38" spans="1:15">
      <c r="A38" s="32" t="s">
        <v>1437</v>
      </c>
      <c r="B38" s="32" t="s">
        <v>7</v>
      </c>
      <c r="C38" s="32" t="s">
        <v>7</v>
      </c>
      <c r="D38" s="32" t="s">
        <v>1362</v>
      </c>
      <c r="E38" s="106" t="s">
        <v>1438</v>
      </c>
      <c r="F38" s="34">
        <v>46238</v>
      </c>
      <c r="G38" s="105">
        <v>46254</v>
      </c>
      <c r="H38" s="32" t="s">
        <v>100</v>
      </c>
      <c r="I38" s="77" t="s">
        <v>645</v>
      </c>
      <c r="J38" s="202" t="s">
        <v>1364</v>
      </c>
      <c r="K38" s="81">
        <v>8400</v>
      </c>
      <c r="L38" s="81">
        <v>0</v>
      </c>
      <c r="M38" s="113">
        <v>100</v>
      </c>
      <c r="N38" s="113">
        <f t="shared" si="2"/>
        <v>8500</v>
      </c>
      <c r="O38" s="81">
        <f t="shared" si="1"/>
        <v>8500</v>
      </c>
    </row>
    <row r="39" spans="1:15">
      <c r="A39" s="32" t="s">
        <v>1439</v>
      </c>
      <c r="B39" s="32" t="s">
        <v>7</v>
      </c>
      <c r="C39" s="32" t="s">
        <v>7</v>
      </c>
      <c r="D39" s="32" t="s">
        <v>1362</v>
      </c>
      <c r="E39" s="106" t="s">
        <v>1440</v>
      </c>
      <c r="F39" s="34">
        <v>46241</v>
      </c>
      <c r="G39" s="105">
        <v>46292</v>
      </c>
      <c r="H39" s="32" t="s">
        <v>84</v>
      </c>
      <c r="I39" s="77" t="s">
        <v>1409</v>
      </c>
      <c r="J39" s="202" t="s">
        <v>1370</v>
      </c>
      <c r="K39" s="81">
        <v>9050</v>
      </c>
      <c r="L39" s="81">
        <v>0</v>
      </c>
      <c r="M39" s="113">
        <v>0</v>
      </c>
      <c r="N39" s="113">
        <f t="shared" si="2"/>
        <v>9050</v>
      </c>
      <c r="O39" s="81">
        <f t="shared" si="1"/>
        <v>9050</v>
      </c>
    </row>
    <row r="40" spans="1:15">
      <c r="A40" s="32" t="s">
        <v>1441</v>
      </c>
      <c r="B40" s="32" t="s">
        <v>7</v>
      </c>
      <c r="C40" s="32" t="s">
        <v>7</v>
      </c>
      <c r="D40" s="32" t="s">
        <v>1362</v>
      </c>
      <c r="E40" s="106" t="s">
        <v>1442</v>
      </c>
      <c r="F40" s="34">
        <v>46248</v>
      </c>
      <c r="G40" s="105">
        <v>46263</v>
      </c>
      <c r="H40" s="32" t="s">
        <v>100</v>
      </c>
      <c r="I40" s="77" t="s">
        <v>645</v>
      </c>
      <c r="J40" s="202" t="s">
        <v>1364</v>
      </c>
      <c r="K40" s="81">
        <v>8400</v>
      </c>
      <c r="L40" s="81">
        <v>0</v>
      </c>
      <c r="M40" s="113">
        <v>100</v>
      </c>
      <c r="N40" s="113">
        <f t="shared" si="2"/>
        <v>8500</v>
      </c>
      <c r="O40" s="81">
        <f t="shared" si="1"/>
        <v>8500</v>
      </c>
    </row>
    <row r="41" spans="1:15">
      <c r="A41" s="32" t="s">
        <v>1443</v>
      </c>
      <c r="B41" s="32" t="s">
        <v>7</v>
      </c>
      <c r="C41" s="32" t="s">
        <v>7</v>
      </c>
      <c r="D41" s="32" t="s">
        <v>1362</v>
      </c>
      <c r="E41" s="106" t="s">
        <v>1444</v>
      </c>
      <c r="F41" s="34">
        <v>46248</v>
      </c>
      <c r="G41" s="105">
        <v>46263</v>
      </c>
      <c r="H41" s="32" t="s">
        <v>100</v>
      </c>
      <c r="I41" s="77" t="s">
        <v>645</v>
      </c>
      <c r="J41" s="202" t="s">
        <v>1364</v>
      </c>
      <c r="K41" s="81">
        <v>8400</v>
      </c>
      <c r="L41" s="81">
        <v>0</v>
      </c>
      <c r="M41" s="113">
        <v>0</v>
      </c>
      <c r="N41" s="113">
        <f t="shared" si="2"/>
        <v>8400</v>
      </c>
      <c r="O41" s="81">
        <f t="shared" si="1"/>
        <v>8400</v>
      </c>
    </row>
    <row r="42" spans="1:15">
      <c r="A42" s="32" t="s">
        <v>1445</v>
      </c>
      <c r="B42" s="32" t="s">
        <v>7</v>
      </c>
      <c r="C42" s="32" t="s">
        <v>7</v>
      </c>
      <c r="D42" s="32" t="s">
        <v>1362</v>
      </c>
      <c r="E42" s="106" t="s">
        <v>1446</v>
      </c>
      <c r="F42" s="34">
        <v>46248</v>
      </c>
      <c r="G42" s="105">
        <v>46299</v>
      </c>
      <c r="H42" s="32" t="s">
        <v>84</v>
      </c>
      <c r="I42" s="77" t="s">
        <v>1409</v>
      </c>
      <c r="J42" s="202" t="s">
        <v>1370</v>
      </c>
      <c r="K42" s="81">
        <v>10660</v>
      </c>
      <c r="L42" s="81">
        <v>0</v>
      </c>
      <c r="M42" s="113">
        <v>0</v>
      </c>
      <c r="N42" s="113">
        <f t="shared" si="2"/>
        <v>10660</v>
      </c>
      <c r="O42" s="81">
        <f t="shared" si="1"/>
        <v>10660</v>
      </c>
    </row>
    <row r="43" spans="1:15">
      <c r="A43" s="32" t="s">
        <v>1447</v>
      </c>
      <c r="B43" s="32" t="s">
        <v>7</v>
      </c>
      <c r="C43" s="32" t="s">
        <v>7</v>
      </c>
      <c r="D43" s="32" t="s">
        <v>1362</v>
      </c>
      <c r="E43" s="106" t="s">
        <v>1448</v>
      </c>
      <c r="F43" s="34">
        <v>46249</v>
      </c>
      <c r="G43" s="105">
        <v>46269</v>
      </c>
      <c r="H43" s="32" t="s">
        <v>149</v>
      </c>
      <c r="I43" s="77" t="s">
        <v>645</v>
      </c>
      <c r="J43" s="202" t="s">
        <v>1364</v>
      </c>
      <c r="K43" s="81">
        <v>8200</v>
      </c>
      <c r="L43" s="81">
        <v>0</v>
      </c>
      <c r="M43" s="113">
        <v>100</v>
      </c>
      <c r="N43" s="113">
        <f t="shared" si="2"/>
        <v>8300</v>
      </c>
      <c r="O43" s="81">
        <f t="shared" si="1"/>
        <v>8300</v>
      </c>
    </row>
    <row r="44" spans="1:15">
      <c r="A44" s="32" t="s">
        <v>1449</v>
      </c>
      <c r="B44" s="32" t="s">
        <v>7</v>
      </c>
      <c r="C44" s="32" t="s">
        <v>7</v>
      </c>
      <c r="D44" s="32" t="s">
        <v>1362</v>
      </c>
      <c r="E44" s="106" t="s">
        <v>1450</v>
      </c>
      <c r="F44" s="34">
        <v>46249</v>
      </c>
      <c r="G44" s="105">
        <v>46269</v>
      </c>
      <c r="H44" s="32" t="s">
        <v>149</v>
      </c>
      <c r="I44" s="77" t="s">
        <v>645</v>
      </c>
      <c r="J44" s="202" t="s">
        <v>1364</v>
      </c>
      <c r="K44" s="81">
        <v>8200</v>
      </c>
      <c r="L44" s="81">
        <v>0</v>
      </c>
      <c r="M44" s="113">
        <v>100</v>
      </c>
      <c r="N44" s="113">
        <f t="shared" si="2"/>
        <v>8300</v>
      </c>
      <c r="O44" s="81">
        <f t="shared" si="1"/>
        <v>8300</v>
      </c>
    </row>
    <row r="45" spans="1:15">
      <c r="A45" s="32" t="s">
        <v>1451</v>
      </c>
      <c r="B45" s="32" t="s">
        <v>7</v>
      </c>
      <c r="C45" s="32" t="s">
        <v>7</v>
      </c>
      <c r="D45" s="32" t="s">
        <v>1362</v>
      </c>
      <c r="E45" s="106" t="s">
        <v>1452</v>
      </c>
      <c r="F45" s="34">
        <v>46253</v>
      </c>
      <c r="G45" s="105">
        <v>46295</v>
      </c>
      <c r="H45" s="32" t="s">
        <v>84</v>
      </c>
      <c r="I45" s="77" t="s">
        <v>1409</v>
      </c>
      <c r="J45" s="202" t="s">
        <v>1370</v>
      </c>
      <c r="K45" s="81">
        <v>11200</v>
      </c>
      <c r="L45" s="81">
        <v>0</v>
      </c>
      <c r="M45" s="113">
        <v>0</v>
      </c>
      <c r="N45" s="113">
        <f t="shared" si="2"/>
        <v>11200</v>
      </c>
      <c r="O45" s="81">
        <f t="shared" si="1"/>
        <v>11200</v>
      </c>
    </row>
    <row r="46" spans="1:15">
      <c r="A46" s="32" t="s">
        <v>1453</v>
      </c>
      <c r="B46" s="32" t="s">
        <v>7</v>
      </c>
      <c r="C46" s="32" t="s">
        <v>7</v>
      </c>
      <c r="D46" s="32" t="s">
        <v>1362</v>
      </c>
      <c r="E46" s="106" t="s">
        <v>1454</v>
      </c>
      <c r="F46" s="34">
        <v>46257</v>
      </c>
      <c r="G46" s="105">
        <v>46293</v>
      </c>
      <c r="H46" s="32" t="s">
        <v>149</v>
      </c>
      <c r="I46" s="77" t="s">
        <v>645</v>
      </c>
      <c r="J46" s="202" t="s">
        <v>1370</v>
      </c>
      <c r="K46" s="81">
        <v>8250</v>
      </c>
      <c r="L46" s="81">
        <v>400</v>
      </c>
      <c r="M46" s="113">
        <v>0</v>
      </c>
      <c r="N46" s="113">
        <f t="shared" si="2"/>
        <v>8650</v>
      </c>
      <c r="O46" s="81">
        <f t="shared" si="1"/>
        <v>8650</v>
      </c>
    </row>
    <row r="47" spans="1:15">
      <c r="A47" s="32" t="s">
        <v>1455</v>
      </c>
      <c r="B47" s="32" t="s">
        <v>7</v>
      </c>
      <c r="C47" s="32" t="s">
        <v>7</v>
      </c>
      <c r="D47" s="32" t="s">
        <v>1362</v>
      </c>
      <c r="E47" s="106" t="s">
        <v>1456</v>
      </c>
      <c r="F47" s="34">
        <v>46258</v>
      </c>
      <c r="G47" s="105">
        <v>46285</v>
      </c>
      <c r="H47" s="32" t="s">
        <v>149</v>
      </c>
      <c r="I47" s="77" t="s">
        <v>645</v>
      </c>
      <c r="J47" s="202" t="s">
        <v>1370</v>
      </c>
      <c r="K47" s="81">
        <v>8250</v>
      </c>
      <c r="L47" s="81">
        <v>0</v>
      </c>
      <c r="M47" s="113">
        <v>0</v>
      </c>
      <c r="N47" s="113">
        <f t="shared" si="2"/>
        <v>8250</v>
      </c>
      <c r="O47" s="81">
        <f t="shared" si="1"/>
        <v>8250</v>
      </c>
    </row>
    <row r="48" spans="1:15">
      <c r="A48" s="32" t="s">
        <v>1457</v>
      </c>
      <c r="B48" s="32" t="s">
        <v>7</v>
      </c>
      <c r="C48" s="32" t="s">
        <v>7</v>
      </c>
      <c r="D48" s="32" t="s">
        <v>1362</v>
      </c>
      <c r="E48" s="106" t="s">
        <v>1458</v>
      </c>
      <c r="F48" s="34">
        <v>46258</v>
      </c>
      <c r="G48" s="105">
        <v>46285</v>
      </c>
      <c r="H48" s="32" t="s">
        <v>149</v>
      </c>
      <c r="I48" s="77" t="s">
        <v>240</v>
      </c>
      <c r="J48" s="202" t="s">
        <v>1370</v>
      </c>
      <c r="K48" s="81">
        <v>8250</v>
      </c>
      <c r="L48" s="81">
        <v>0</v>
      </c>
      <c r="M48" s="113">
        <v>0</v>
      </c>
      <c r="N48" s="113">
        <f t="shared" si="2"/>
        <v>8250</v>
      </c>
      <c r="O48" s="81">
        <f t="shared" si="1"/>
        <v>8250</v>
      </c>
    </row>
    <row r="49" spans="1:15">
      <c r="A49" s="32" t="s">
        <v>1459</v>
      </c>
      <c r="B49" s="32" t="s">
        <v>7</v>
      </c>
      <c r="C49" s="32" t="s">
        <v>7</v>
      </c>
      <c r="D49" s="32" t="s">
        <v>1362</v>
      </c>
      <c r="E49" s="106" t="s">
        <v>1460</v>
      </c>
      <c r="F49" s="34">
        <v>46271</v>
      </c>
      <c r="G49" s="105">
        <v>46289</v>
      </c>
      <c r="H49" s="32" t="s">
        <v>149</v>
      </c>
      <c r="I49" s="77" t="s">
        <v>240</v>
      </c>
      <c r="J49" s="202" t="s">
        <v>1370</v>
      </c>
      <c r="K49" s="81">
        <v>8500</v>
      </c>
      <c r="L49" s="81">
        <v>0</v>
      </c>
      <c r="M49" s="113">
        <v>0</v>
      </c>
      <c r="N49" s="113">
        <f t="shared" si="2"/>
        <v>8500</v>
      </c>
      <c r="O49" s="81">
        <f t="shared" si="1"/>
        <v>8500</v>
      </c>
    </row>
    <row r="50" spans="1:15">
      <c r="A50" s="32" t="s">
        <v>1461</v>
      </c>
      <c r="B50" s="32" t="s">
        <v>7</v>
      </c>
      <c r="C50" s="32" t="s">
        <v>7</v>
      </c>
      <c r="D50" s="32" t="s">
        <v>1362</v>
      </c>
      <c r="E50" s="106" t="s">
        <v>1462</v>
      </c>
      <c r="F50" s="34">
        <v>46271</v>
      </c>
      <c r="G50" s="105">
        <v>46289</v>
      </c>
      <c r="H50" s="32" t="s">
        <v>149</v>
      </c>
      <c r="I50" s="77" t="s">
        <v>240</v>
      </c>
      <c r="J50" s="202" t="s">
        <v>1370</v>
      </c>
      <c r="K50" s="81">
        <v>8500</v>
      </c>
      <c r="L50" s="81">
        <v>0</v>
      </c>
      <c r="M50" s="113">
        <v>0</v>
      </c>
      <c r="N50" s="113">
        <f t="shared" si="2"/>
        <v>8500</v>
      </c>
      <c r="O50" s="81">
        <f t="shared" si="1"/>
        <v>8500</v>
      </c>
    </row>
    <row r="51" spans="1:15">
      <c r="A51" s="32" t="s">
        <v>1463</v>
      </c>
      <c r="B51" s="32" t="s">
        <v>7</v>
      </c>
      <c r="C51" s="32" t="s">
        <v>7</v>
      </c>
      <c r="D51" s="32" t="s">
        <v>1362</v>
      </c>
      <c r="E51" s="106" t="s">
        <v>1464</v>
      </c>
      <c r="F51" s="34">
        <v>46278</v>
      </c>
      <c r="G51" s="105">
        <v>46295</v>
      </c>
      <c r="H51" s="32" t="s">
        <v>149</v>
      </c>
      <c r="I51" s="77" t="s">
        <v>240</v>
      </c>
      <c r="J51" s="202" t="s">
        <v>1370</v>
      </c>
      <c r="K51" s="81">
        <v>8500</v>
      </c>
      <c r="L51" s="81">
        <v>0</v>
      </c>
      <c r="M51" s="113">
        <v>0</v>
      </c>
      <c r="N51" s="113">
        <f t="shared" si="2"/>
        <v>8500</v>
      </c>
      <c r="O51" s="81">
        <f t="shared" si="1"/>
        <v>8500</v>
      </c>
    </row>
    <row r="52" spans="1:15">
      <c r="A52" s="32" t="s">
        <v>1465</v>
      </c>
      <c r="B52" s="32" t="s">
        <v>7</v>
      </c>
      <c r="C52" s="32" t="s">
        <v>7</v>
      </c>
      <c r="D52" s="32" t="s">
        <v>1362</v>
      </c>
      <c r="E52" s="106" t="s">
        <v>1466</v>
      </c>
      <c r="F52" s="34">
        <v>46278</v>
      </c>
      <c r="G52" s="105">
        <v>46293</v>
      </c>
      <c r="H52" s="32" t="s">
        <v>149</v>
      </c>
      <c r="I52" s="77" t="s">
        <v>240</v>
      </c>
      <c r="J52" s="202" t="s">
        <v>1370</v>
      </c>
      <c r="K52" s="81">
        <v>8500</v>
      </c>
      <c r="L52" s="81">
        <v>0</v>
      </c>
      <c r="M52" s="113">
        <v>0</v>
      </c>
      <c r="N52" s="113">
        <f t="shared" si="2"/>
        <v>8500</v>
      </c>
      <c r="O52" s="81">
        <f t="shared" si="1"/>
        <v>8500</v>
      </c>
    </row>
    <row r="53" spans="1:15">
      <c r="A53" s="32" t="s">
        <v>1467</v>
      </c>
      <c r="B53" s="32" t="s">
        <v>7</v>
      </c>
      <c r="C53" s="32" t="s">
        <v>7</v>
      </c>
      <c r="D53" s="32" t="s">
        <v>1362</v>
      </c>
      <c r="E53" s="106" t="s">
        <v>1468</v>
      </c>
      <c r="F53" s="34">
        <v>46285</v>
      </c>
      <c r="G53" s="105">
        <v>46304</v>
      </c>
      <c r="H53" s="32" t="s">
        <v>149</v>
      </c>
      <c r="I53" s="77" t="s">
        <v>648</v>
      </c>
      <c r="J53" s="202" t="s">
        <v>1370</v>
      </c>
      <c r="K53" s="81">
        <v>9700</v>
      </c>
      <c r="L53" s="81">
        <v>0</v>
      </c>
      <c r="M53" s="113">
        <v>100</v>
      </c>
      <c r="N53" s="113">
        <f t="shared" si="2"/>
        <v>9800</v>
      </c>
      <c r="O53" s="81">
        <f t="shared" si="1"/>
        <v>9800</v>
      </c>
    </row>
    <row r="54" spans="1:15">
      <c r="A54" s="32" t="s">
        <v>1469</v>
      </c>
      <c r="B54" s="32" t="s">
        <v>7</v>
      </c>
      <c r="C54" s="32" t="s">
        <v>7</v>
      </c>
      <c r="D54" s="32" t="s">
        <v>1362</v>
      </c>
      <c r="E54" s="106" t="s">
        <v>1470</v>
      </c>
      <c r="F54" s="34">
        <v>46292</v>
      </c>
      <c r="G54" s="105">
        <v>46324</v>
      </c>
      <c r="H54" s="32" t="s">
        <v>1213</v>
      </c>
      <c r="I54" s="77" t="s">
        <v>648</v>
      </c>
      <c r="J54" s="202" t="s">
        <v>105</v>
      </c>
      <c r="K54" s="81">
        <v>6150</v>
      </c>
      <c r="L54" s="81">
        <v>0</v>
      </c>
      <c r="M54" s="113">
        <v>0</v>
      </c>
      <c r="N54" s="113">
        <f t="shared" si="2"/>
        <v>6150</v>
      </c>
      <c r="O54" s="81">
        <f t="shared" si="1"/>
        <v>6150</v>
      </c>
    </row>
    <row r="55" spans="1:15">
      <c r="A55" s="32" t="s">
        <v>1471</v>
      </c>
      <c r="B55" s="32" t="s">
        <v>7</v>
      </c>
      <c r="C55" s="32" t="s">
        <v>7</v>
      </c>
      <c r="D55" s="32" t="s">
        <v>1362</v>
      </c>
      <c r="E55" s="106" t="s">
        <v>1472</v>
      </c>
      <c r="F55" s="34">
        <v>46292</v>
      </c>
      <c r="G55" s="105">
        <v>46324</v>
      </c>
      <c r="H55" s="32" t="s">
        <v>1213</v>
      </c>
      <c r="I55" s="77" t="s">
        <v>648</v>
      </c>
      <c r="J55" s="202" t="s">
        <v>105</v>
      </c>
      <c r="K55" s="81">
        <v>6150</v>
      </c>
      <c r="L55" s="81">
        <v>0</v>
      </c>
      <c r="M55" s="113">
        <v>0</v>
      </c>
      <c r="N55" s="113">
        <f t="shared" si="2"/>
        <v>6150</v>
      </c>
      <c r="O55" s="81">
        <f t="shared" si="1"/>
        <v>6150</v>
      </c>
    </row>
    <row r="56" spans="1:15">
      <c r="A56" s="32" t="s">
        <v>1473</v>
      </c>
      <c r="B56" s="32" t="s">
        <v>7</v>
      </c>
      <c r="C56" s="32" t="s">
        <v>7</v>
      </c>
      <c r="D56" s="32" t="s">
        <v>1362</v>
      </c>
      <c r="E56" s="106" t="s">
        <v>1474</v>
      </c>
      <c r="F56" s="34">
        <v>46277</v>
      </c>
      <c r="G56" s="105">
        <v>46334</v>
      </c>
      <c r="H56" s="32" t="s">
        <v>84</v>
      </c>
      <c r="I56" s="77" t="s">
        <v>1409</v>
      </c>
      <c r="J56" s="202" t="s">
        <v>1364</v>
      </c>
      <c r="K56" s="81">
        <v>14650</v>
      </c>
      <c r="L56" s="81">
        <v>0</v>
      </c>
      <c r="M56" s="113">
        <v>0</v>
      </c>
      <c r="N56" s="113">
        <f>SUM(K56:M56)</f>
        <v>14650</v>
      </c>
      <c r="O56" s="81">
        <f>N56</f>
        <v>14650</v>
      </c>
    </row>
    <row r="57" spans="1:15">
      <c r="A57" s="32" t="s">
        <v>1475</v>
      </c>
      <c r="B57" s="32" t="s">
        <v>7</v>
      </c>
      <c r="C57" s="32" t="s">
        <v>7</v>
      </c>
      <c r="D57" s="32" t="s">
        <v>1362</v>
      </c>
      <c r="E57" s="106" t="s">
        <v>1476</v>
      </c>
      <c r="F57" s="34">
        <v>46277</v>
      </c>
      <c r="G57" s="105">
        <v>46334</v>
      </c>
      <c r="H57" s="32" t="s">
        <v>84</v>
      </c>
      <c r="I57" s="77" t="s">
        <v>1409</v>
      </c>
      <c r="J57" s="202" t="s">
        <v>1364</v>
      </c>
      <c r="K57" s="81">
        <v>14650</v>
      </c>
      <c r="L57" s="81">
        <v>0</v>
      </c>
      <c r="M57" s="113">
        <v>0</v>
      </c>
      <c r="N57" s="113">
        <f>SUM(K57:M57)</f>
        <v>14650</v>
      </c>
      <c r="O57" s="81">
        <f>N57</f>
        <v>14650</v>
      </c>
    </row>
    <row r="58" spans="1:15">
      <c r="A58" s="32" t="s">
        <v>1477</v>
      </c>
      <c r="B58" s="32" t="s">
        <v>7</v>
      </c>
      <c r="C58" s="32" t="s">
        <v>7</v>
      </c>
      <c r="D58" s="32" t="s">
        <v>1362</v>
      </c>
      <c r="E58" s="106" t="s">
        <v>1478</v>
      </c>
      <c r="F58" s="34">
        <v>46293</v>
      </c>
      <c r="G58" s="105">
        <v>46341</v>
      </c>
      <c r="H58" s="32" t="s">
        <v>84</v>
      </c>
      <c r="I58" s="77" t="s">
        <v>1409</v>
      </c>
      <c r="J58" s="202" t="s">
        <v>1479</v>
      </c>
      <c r="K58" s="81">
        <v>14750</v>
      </c>
      <c r="L58" s="81">
        <v>0</v>
      </c>
      <c r="M58" s="113">
        <v>100</v>
      </c>
      <c r="N58" s="113">
        <f>SUM(K58:M58)</f>
        <v>14850</v>
      </c>
      <c r="O58" s="81">
        <f>N58</f>
        <v>14850</v>
      </c>
    </row>
    <row r="59" spans="1:15">
      <c r="A59" s="32" t="s">
        <v>1480</v>
      </c>
      <c r="B59" s="32" t="s">
        <v>7</v>
      </c>
      <c r="C59" s="32" t="s">
        <v>7</v>
      </c>
      <c r="D59" s="32" t="s">
        <v>1362</v>
      </c>
      <c r="E59" s="106" t="s">
        <v>1481</v>
      </c>
      <c r="F59" s="34">
        <v>46299</v>
      </c>
      <c r="G59" s="105">
        <v>46351</v>
      </c>
      <c r="H59" s="32" t="s">
        <v>84</v>
      </c>
      <c r="I59" s="77" t="s">
        <v>1164</v>
      </c>
      <c r="J59" s="202" t="s">
        <v>1364</v>
      </c>
      <c r="K59" s="81"/>
      <c r="L59" s="81">
        <v>0</v>
      </c>
      <c r="M59" s="113">
        <v>100</v>
      </c>
      <c r="N59" s="113">
        <f>SUM(K59:M59)</f>
        <v>100</v>
      </c>
      <c r="O59" s="81">
        <f>N59</f>
        <v>100</v>
      </c>
    </row>
    <row r="60" spans="1:15">
      <c r="A60" s="425" t="s">
        <v>1482</v>
      </c>
      <c r="B60" s="425" t="s">
        <v>7</v>
      </c>
      <c r="C60" s="425" t="s">
        <v>7</v>
      </c>
      <c r="D60" s="425" t="s">
        <v>1362</v>
      </c>
      <c r="E60" s="423" t="s">
        <v>1483</v>
      </c>
      <c r="F60" s="426">
        <v>46298</v>
      </c>
      <c r="G60" s="433">
        <v>46314</v>
      </c>
      <c r="H60" s="425" t="s">
        <v>149</v>
      </c>
      <c r="I60" s="430" t="s">
        <v>645</v>
      </c>
      <c r="J60" s="434" t="s">
        <v>1370</v>
      </c>
      <c r="K60" s="432">
        <v>9300</v>
      </c>
      <c r="L60" s="432">
        <v>0</v>
      </c>
      <c r="M60" s="427">
        <v>100</v>
      </c>
      <c r="N60" s="427">
        <f>SUM(K60:M60)</f>
        <v>9400</v>
      </c>
      <c r="O60" s="432">
        <f>N60</f>
        <v>9400</v>
      </c>
    </row>
  </sheetData>
  <autoFilter ref="A2:O2" xr:uid="{4254EB44-23F9-4081-A33C-689C124423FE}">
    <sortState xmlns:xlrd2="http://schemas.microsoft.com/office/spreadsheetml/2017/richdata2" ref="A3:O55">
      <sortCondition ref="F2"/>
    </sortState>
  </autoFilter>
  <sortState xmlns:xlrd2="http://schemas.microsoft.com/office/spreadsheetml/2017/richdata2" ref="A3:O23">
    <sortCondition ref="G3:G23"/>
  </sortState>
  <conditionalFormatting sqref="A3:A9">
    <cfRule type="duplicateValues" dxfId="2715" priority="1553"/>
    <cfRule type="duplicateValues" dxfId="2714" priority="1554"/>
    <cfRule type="duplicateValues" dxfId="2713" priority="1555"/>
    <cfRule type="duplicateValues" dxfId="2712" priority="1556"/>
    <cfRule type="duplicateValues" dxfId="2711" priority="1557"/>
    <cfRule type="duplicateValues" dxfId="2710" priority="1558"/>
  </conditionalFormatting>
  <conditionalFormatting sqref="A10:A21">
    <cfRule type="duplicateValues" dxfId="2709" priority="12"/>
    <cfRule type="duplicateValues" dxfId="2708" priority="13"/>
    <cfRule type="duplicateValues" dxfId="2707" priority="14"/>
    <cfRule type="duplicateValues" dxfId="2706" priority="15"/>
    <cfRule type="duplicateValues" dxfId="2705" priority="16"/>
    <cfRule type="duplicateValues" dxfId="2704" priority="17"/>
  </conditionalFormatting>
  <conditionalFormatting sqref="A22:A60">
    <cfRule type="duplicateValues" dxfId="2703" priority="1"/>
    <cfRule type="duplicateValues" dxfId="2702" priority="2"/>
    <cfRule type="duplicateValues" dxfId="2701" priority="3"/>
    <cfRule type="duplicateValues" dxfId="2700" priority="4"/>
    <cfRule type="duplicateValues" dxfId="2699" priority="5"/>
    <cfRule type="duplicateValues" dxfId="2698" priority="6"/>
  </conditionalFormatting>
  <conditionalFormatting sqref="A61:A1048403 A1:A2">
    <cfRule type="duplicateValues" dxfId="2697" priority="1837"/>
    <cfRule type="duplicateValues" dxfId="2696" priority="1838"/>
    <cfRule type="duplicateValues" dxfId="2695" priority="1839"/>
    <cfRule type="duplicateValues" dxfId="2694" priority="1840"/>
    <cfRule type="duplicateValues" dxfId="2693" priority="1841"/>
  </conditionalFormatting>
  <conditionalFormatting sqref="A61:A1048576 A1:A2">
    <cfRule type="duplicateValues" dxfId="2692" priority="1852"/>
  </conditionalFormatting>
  <conditionalFormatting sqref="E1:E1048576 A1:A1048576">
    <cfRule type="duplicateValues" dxfId="2691" priority="43"/>
  </conditionalFormatting>
  <conditionalFormatting sqref="E3:E9">
    <cfRule type="duplicateValues" dxfId="2690" priority="1565"/>
    <cfRule type="duplicateValues" dxfId="2689" priority="1566"/>
    <cfRule type="duplicateValues" dxfId="2688" priority="1567"/>
    <cfRule type="duplicateValues" dxfId="2687" priority="1568"/>
    <cfRule type="duplicateValues" dxfId="2686" priority="1569"/>
  </conditionalFormatting>
  <conditionalFormatting sqref="E10:E21">
    <cfRule type="duplicateValues" dxfId="2685" priority="18"/>
    <cfRule type="duplicateValues" dxfId="2684" priority="19"/>
    <cfRule type="duplicateValues" dxfId="2683" priority="20"/>
    <cfRule type="duplicateValues" dxfId="2682" priority="21"/>
    <cfRule type="duplicateValues" dxfId="2681" priority="22"/>
  </conditionalFormatting>
  <conditionalFormatting sqref="E22:E60">
    <cfRule type="duplicateValues" dxfId="2680" priority="7"/>
    <cfRule type="duplicateValues" dxfId="2679" priority="8"/>
    <cfRule type="duplicateValues" dxfId="2678" priority="9"/>
    <cfRule type="duplicateValues" dxfId="2677" priority="10"/>
    <cfRule type="duplicateValues" dxfId="2676" priority="11"/>
  </conditionalFormatting>
  <conditionalFormatting sqref="E61:E1048403 E1:E2">
    <cfRule type="duplicateValues" dxfId="2675" priority="1859"/>
    <cfRule type="duplicateValues" dxfId="2674" priority="1860"/>
    <cfRule type="duplicateValues" dxfId="2673" priority="1861"/>
    <cfRule type="duplicateValues" dxfId="2672" priority="1862"/>
    <cfRule type="duplicateValues" dxfId="2671" priority="1863"/>
  </conditionalFormatting>
  <pageMargins left="0.7" right="0.7" top="0.75" bottom="0.75" header="0.3" footer="0.3"/>
  <pageSetup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D8A26-548B-475E-8BCD-635B7752B062}">
  <sheetPr codeName="Hoja15">
    <tabColor rgb="FF7030A0"/>
  </sheetPr>
  <dimension ref="A1:P9"/>
  <sheetViews>
    <sheetView topLeftCell="B1" workbookViewId="0">
      <selection activeCell="I18" sqref="I18"/>
    </sheetView>
  </sheetViews>
  <sheetFormatPr defaultColWidth="11.42578125" defaultRowHeight="14.45"/>
  <cols>
    <col min="1" max="1" width="24.140625" bestFit="1" customWidth="1"/>
    <col min="3" max="3" width="15.42578125" customWidth="1"/>
    <col min="5" max="5" width="13.7109375" customWidth="1"/>
    <col min="10" max="10" width="16.7109375" bestFit="1" customWidth="1"/>
    <col min="13" max="13" width="21.42578125" bestFit="1" customWidth="1"/>
  </cols>
  <sheetData>
    <row r="1" spans="1:16" ht="15.6">
      <c r="K1" s="1"/>
      <c r="L1" s="1"/>
      <c r="M1" s="95">
        <f>SUM(M3:M29)-SUM(P4:P7)</f>
        <v>0</v>
      </c>
    </row>
    <row r="2" spans="1:16" ht="27.6">
      <c r="A2" s="5" t="s">
        <v>45</v>
      </c>
      <c r="B2" s="5" t="s">
        <v>46</v>
      </c>
      <c r="C2" s="5" t="s">
        <v>47</v>
      </c>
      <c r="D2" s="5" t="s">
        <v>48</v>
      </c>
      <c r="E2" s="5" t="s">
        <v>49</v>
      </c>
      <c r="F2" s="5" t="s">
        <v>50</v>
      </c>
      <c r="G2" s="5" t="s">
        <v>51</v>
      </c>
      <c r="H2" s="5" t="s">
        <v>52</v>
      </c>
      <c r="I2" s="5" t="s">
        <v>53</v>
      </c>
      <c r="J2" s="5" t="s">
        <v>54</v>
      </c>
      <c r="K2" s="5" t="s">
        <v>58</v>
      </c>
      <c r="L2" s="5" t="s">
        <v>675</v>
      </c>
      <c r="M2" s="5" t="s">
        <v>55</v>
      </c>
      <c r="N2" s="6"/>
    </row>
    <row r="3" spans="1:16">
      <c r="A3" s="7" t="s">
        <v>1484</v>
      </c>
      <c r="B3" s="33"/>
      <c r="C3" s="33"/>
      <c r="D3" s="32"/>
      <c r="E3" s="32"/>
      <c r="F3" s="34"/>
      <c r="G3" s="34"/>
      <c r="H3" s="32"/>
      <c r="I3" s="33"/>
      <c r="J3" s="68"/>
      <c r="K3" s="198"/>
      <c r="L3" s="198"/>
      <c r="M3" s="198"/>
      <c r="O3" s="132" t="s">
        <v>56</v>
      </c>
      <c r="P3" s="133" t="s">
        <v>57</v>
      </c>
    </row>
    <row r="4" spans="1:16">
      <c r="A4" s="7" t="s">
        <v>1485</v>
      </c>
      <c r="B4" s="33"/>
      <c r="C4" s="33"/>
      <c r="D4" s="32"/>
      <c r="E4" s="32"/>
      <c r="F4" s="34"/>
      <c r="G4" s="34"/>
      <c r="H4" s="32"/>
      <c r="I4" s="33"/>
      <c r="J4" s="68"/>
      <c r="K4" s="198"/>
      <c r="L4" s="198"/>
      <c r="M4" s="198"/>
      <c r="O4" s="150"/>
      <c r="P4" s="151"/>
    </row>
    <row r="5" spans="1:16">
      <c r="A5" s="7" t="s">
        <v>1486</v>
      </c>
      <c r="B5" s="33"/>
      <c r="C5" s="33"/>
      <c r="D5" s="32"/>
      <c r="E5" s="32"/>
      <c r="F5" s="34"/>
      <c r="G5" s="34"/>
      <c r="H5" s="32"/>
      <c r="I5" s="33"/>
      <c r="J5" s="68"/>
      <c r="K5" s="198"/>
      <c r="L5" s="198"/>
      <c r="M5" s="198"/>
      <c r="O5" s="150"/>
      <c r="P5" s="151"/>
    </row>
    <row r="6" spans="1:16">
      <c r="A6" s="7" t="s">
        <v>1487</v>
      </c>
      <c r="B6" s="33"/>
      <c r="C6" s="33"/>
      <c r="D6" s="32"/>
      <c r="E6" s="32"/>
      <c r="F6" s="34"/>
      <c r="G6" s="34"/>
      <c r="H6" s="32"/>
      <c r="I6" s="33"/>
      <c r="J6" s="68"/>
      <c r="K6" s="198"/>
      <c r="L6" s="198"/>
      <c r="M6" s="198"/>
    </row>
    <row r="7" spans="1:16">
      <c r="A7" s="7" t="s">
        <v>1488</v>
      </c>
      <c r="B7" s="33"/>
      <c r="C7" s="33"/>
      <c r="D7" s="32"/>
      <c r="E7" s="32"/>
      <c r="F7" s="34"/>
      <c r="G7" s="34"/>
      <c r="H7" s="32"/>
      <c r="I7" s="33"/>
      <c r="J7" s="68"/>
      <c r="K7" s="198"/>
      <c r="L7" s="198"/>
      <c r="M7" s="198"/>
    </row>
    <row r="8" spans="1:16">
      <c r="A8" s="7" t="s">
        <v>1489</v>
      </c>
      <c r="B8" s="33"/>
      <c r="C8" s="33"/>
      <c r="D8" s="32"/>
      <c r="E8" s="32"/>
      <c r="F8" s="34"/>
      <c r="G8" s="34"/>
      <c r="H8" s="32"/>
      <c r="I8" s="33"/>
      <c r="J8" s="68"/>
      <c r="K8" s="198"/>
      <c r="L8" s="198"/>
      <c r="M8" s="198"/>
    </row>
    <row r="9" spans="1:16">
      <c r="A9" s="7" t="s">
        <v>1490</v>
      </c>
      <c r="B9" s="33"/>
      <c r="C9" s="33"/>
      <c r="D9" s="32"/>
      <c r="E9" s="32"/>
      <c r="F9" s="34"/>
      <c r="G9" s="34"/>
      <c r="H9" s="32"/>
      <c r="I9" s="33"/>
      <c r="J9" s="68"/>
      <c r="K9" s="198"/>
      <c r="L9" s="198"/>
      <c r="M9" s="198"/>
    </row>
  </sheetData>
  <conditionalFormatting sqref="E1">
    <cfRule type="duplicateValues" dxfId="2670" priority="10"/>
  </conditionalFormatting>
  <conditionalFormatting sqref="E1:E8 E10:E1048576">
    <cfRule type="duplicateValues" dxfId="2669" priority="4"/>
  </conditionalFormatting>
  <conditionalFormatting sqref="E3:E4">
    <cfRule type="duplicateValues" dxfId="2668" priority="9"/>
  </conditionalFormatting>
  <conditionalFormatting sqref="E5:E6">
    <cfRule type="duplicateValues" dxfId="2667" priority="8"/>
  </conditionalFormatting>
  <conditionalFormatting sqref="E7:E8">
    <cfRule type="duplicateValues" dxfId="2666" priority="7"/>
  </conditionalFormatting>
  <conditionalFormatting sqref="E9">
    <cfRule type="duplicateValues" dxfId="2665" priority="1"/>
    <cfRule type="duplicateValues" dxfId="2664" priority="2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3C26E-6E83-4400-B554-50F3F461555A}">
  <sheetPr codeName="Hoja25"/>
  <dimension ref="A1:R9"/>
  <sheetViews>
    <sheetView workbookViewId="0">
      <selection activeCell="N15" sqref="N15"/>
    </sheetView>
  </sheetViews>
  <sheetFormatPr defaultColWidth="11.42578125" defaultRowHeight="14.45"/>
  <cols>
    <col min="1" max="1" width="12.42578125" bestFit="1" customWidth="1"/>
    <col min="5" max="5" width="12.7109375" customWidth="1"/>
    <col min="10" max="10" width="10.7109375" customWidth="1"/>
  </cols>
  <sheetData>
    <row r="1" spans="1:18" ht="15.6">
      <c r="A1" s="57"/>
      <c r="B1" s="57"/>
      <c r="K1" s="1"/>
      <c r="L1" s="1"/>
      <c r="N1" s="1"/>
      <c r="O1" s="95">
        <f>SUM(N3:N140)-SUM(R4:R14)</f>
        <v>0</v>
      </c>
    </row>
    <row r="2" spans="1:18" ht="24">
      <c r="A2" s="87" t="s">
        <v>45</v>
      </c>
      <c r="B2" s="87" t="s">
        <v>491</v>
      </c>
      <c r="C2" s="87" t="s">
        <v>47</v>
      </c>
      <c r="D2" s="87" t="s">
        <v>48</v>
      </c>
      <c r="E2" s="87" t="s">
        <v>49</v>
      </c>
      <c r="F2" s="87" t="s">
        <v>50</v>
      </c>
      <c r="G2" s="87" t="s">
        <v>51</v>
      </c>
      <c r="H2" s="87" t="s">
        <v>52</v>
      </c>
      <c r="I2" s="88" t="s">
        <v>53</v>
      </c>
      <c r="J2" s="87" t="s">
        <v>54</v>
      </c>
      <c r="K2" s="89" t="s">
        <v>58</v>
      </c>
      <c r="L2" s="89" t="s">
        <v>1491</v>
      </c>
      <c r="M2" s="89" t="s">
        <v>555</v>
      </c>
      <c r="N2" s="89" t="s">
        <v>55</v>
      </c>
      <c r="O2" s="89" t="s">
        <v>1360</v>
      </c>
    </row>
    <row r="3" spans="1:18" ht="22.15" customHeight="1">
      <c r="A3" s="7" t="s">
        <v>1492</v>
      </c>
      <c r="B3" s="7" t="s">
        <v>35</v>
      </c>
      <c r="C3" s="7" t="s">
        <v>35</v>
      </c>
      <c r="D3" s="7" t="s">
        <v>1362</v>
      </c>
      <c r="E3" s="211" t="s">
        <v>1493</v>
      </c>
      <c r="F3" s="9">
        <v>46044</v>
      </c>
      <c r="G3" s="220">
        <v>46063</v>
      </c>
      <c r="H3" s="7" t="s">
        <v>100</v>
      </c>
      <c r="I3" s="212" t="s">
        <v>66</v>
      </c>
      <c r="J3" s="11" t="s">
        <v>1370</v>
      </c>
      <c r="K3" s="12">
        <v>2700</v>
      </c>
      <c r="L3" s="12">
        <v>0</v>
      </c>
      <c r="M3" s="13">
        <v>0</v>
      </c>
      <c r="N3" s="13">
        <f t="shared" ref="N3:N9" si="0">SUM(K3:M3)</f>
        <v>2700</v>
      </c>
      <c r="O3" s="12">
        <v>0</v>
      </c>
      <c r="Q3" s="127" t="s">
        <v>56</v>
      </c>
      <c r="R3" s="128" t="s">
        <v>57</v>
      </c>
    </row>
    <row r="4" spans="1:18" ht="22.15" customHeight="1">
      <c r="A4" s="7" t="s">
        <v>1494</v>
      </c>
      <c r="B4" s="7" t="s">
        <v>35</v>
      </c>
      <c r="C4" s="7" t="s">
        <v>35</v>
      </c>
      <c r="D4" s="7" t="s">
        <v>1362</v>
      </c>
      <c r="E4" s="211" t="s">
        <v>1495</v>
      </c>
      <c r="F4" s="9">
        <v>46033</v>
      </c>
      <c r="G4" s="220">
        <v>46072</v>
      </c>
      <c r="H4" s="7" t="s">
        <v>79</v>
      </c>
      <c r="I4" s="212" t="s">
        <v>66</v>
      </c>
      <c r="J4" s="11" t="s">
        <v>122</v>
      </c>
      <c r="K4" s="12">
        <v>3900</v>
      </c>
      <c r="L4" s="12">
        <v>0</v>
      </c>
      <c r="M4" s="13">
        <v>100</v>
      </c>
      <c r="N4" s="13">
        <f t="shared" si="0"/>
        <v>4000</v>
      </c>
      <c r="O4" s="12">
        <v>0</v>
      </c>
      <c r="Q4" s="150">
        <v>46118</v>
      </c>
      <c r="R4" s="152">
        <v>25850</v>
      </c>
    </row>
    <row r="5" spans="1:18" ht="22.15" customHeight="1">
      <c r="A5" s="7" t="s">
        <v>1496</v>
      </c>
      <c r="B5" s="7" t="s">
        <v>35</v>
      </c>
      <c r="C5" s="7" t="s">
        <v>35</v>
      </c>
      <c r="D5" s="7" t="s">
        <v>1362</v>
      </c>
      <c r="E5" s="211" t="s">
        <v>1497</v>
      </c>
      <c r="F5" s="9">
        <v>46036</v>
      </c>
      <c r="G5" s="220">
        <v>46073</v>
      </c>
      <c r="H5" s="7" t="s">
        <v>100</v>
      </c>
      <c r="I5" s="212" t="s">
        <v>316</v>
      </c>
      <c r="J5" s="11" t="s">
        <v>122</v>
      </c>
      <c r="K5" s="12">
        <v>4000</v>
      </c>
      <c r="L5" s="12">
        <v>0</v>
      </c>
      <c r="M5" s="13">
        <v>100</v>
      </c>
      <c r="N5" s="13">
        <f t="shared" si="0"/>
        <v>4100</v>
      </c>
      <c r="O5" s="12">
        <v>0</v>
      </c>
    </row>
    <row r="6" spans="1:18" ht="27.6">
      <c r="A6" s="7" t="s">
        <v>1498</v>
      </c>
      <c r="B6" s="7" t="s">
        <v>35</v>
      </c>
      <c r="C6" s="7" t="s">
        <v>35</v>
      </c>
      <c r="D6" s="7" t="s">
        <v>1362</v>
      </c>
      <c r="E6" s="211" t="s">
        <v>1499</v>
      </c>
      <c r="F6" s="9">
        <v>46051</v>
      </c>
      <c r="G6" s="220">
        <v>46083</v>
      </c>
      <c r="H6" s="7" t="s">
        <v>65</v>
      </c>
      <c r="I6" s="212" t="s">
        <v>66</v>
      </c>
      <c r="J6" s="11" t="s">
        <v>67</v>
      </c>
      <c r="K6" s="12">
        <v>3750</v>
      </c>
      <c r="L6" s="12">
        <v>0</v>
      </c>
      <c r="M6" s="13">
        <v>100</v>
      </c>
      <c r="N6" s="13">
        <f t="shared" si="0"/>
        <v>3850</v>
      </c>
      <c r="O6" s="12">
        <v>0</v>
      </c>
    </row>
    <row r="7" spans="1:18" ht="24">
      <c r="A7" s="7" t="s">
        <v>1500</v>
      </c>
      <c r="B7" s="7" t="s">
        <v>35</v>
      </c>
      <c r="C7" s="7" t="s">
        <v>35</v>
      </c>
      <c r="D7" s="7" t="s">
        <v>1362</v>
      </c>
      <c r="E7" s="211" t="s">
        <v>1501</v>
      </c>
      <c r="F7" s="9">
        <v>46051</v>
      </c>
      <c r="G7" s="220">
        <v>46083</v>
      </c>
      <c r="H7" s="7" t="s">
        <v>65</v>
      </c>
      <c r="I7" s="212" t="s">
        <v>66</v>
      </c>
      <c r="J7" s="11" t="s">
        <v>67</v>
      </c>
      <c r="K7" s="12">
        <v>3750</v>
      </c>
      <c r="L7" s="12">
        <v>0</v>
      </c>
      <c r="M7" s="13">
        <v>100</v>
      </c>
      <c r="N7" s="13">
        <f t="shared" si="0"/>
        <v>3850</v>
      </c>
      <c r="O7" s="12">
        <v>0</v>
      </c>
    </row>
    <row r="8" spans="1:18" ht="24">
      <c r="A8" s="7" t="s">
        <v>1502</v>
      </c>
      <c r="B8" s="7" t="s">
        <v>35</v>
      </c>
      <c r="C8" s="7" t="s">
        <v>35</v>
      </c>
      <c r="D8" s="7" t="s">
        <v>1362</v>
      </c>
      <c r="E8" s="211" t="s">
        <v>1503</v>
      </c>
      <c r="F8" s="9">
        <v>46050</v>
      </c>
      <c r="G8" s="220">
        <v>46087</v>
      </c>
      <c r="H8" s="7" t="s">
        <v>65</v>
      </c>
      <c r="I8" s="212" t="s">
        <v>510</v>
      </c>
      <c r="J8" s="11" t="s">
        <v>67</v>
      </c>
      <c r="K8" s="12">
        <v>3750</v>
      </c>
      <c r="L8" s="12">
        <v>0</v>
      </c>
      <c r="M8" s="13">
        <v>100</v>
      </c>
      <c r="N8" s="13">
        <f t="shared" si="0"/>
        <v>3850</v>
      </c>
      <c r="O8" s="12">
        <v>0</v>
      </c>
    </row>
    <row r="9" spans="1:18" ht="24">
      <c r="A9" s="7" t="s">
        <v>1504</v>
      </c>
      <c r="B9" s="7" t="s">
        <v>35</v>
      </c>
      <c r="C9" s="7" t="s">
        <v>35</v>
      </c>
      <c r="D9" s="7" t="s">
        <v>1362</v>
      </c>
      <c r="E9" s="211" t="s">
        <v>1505</v>
      </c>
      <c r="F9" s="9">
        <v>46054</v>
      </c>
      <c r="G9" s="220">
        <v>46097</v>
      </c>
      <c r="H9" s="7" t="s">
        <v>79</v>
      </c>
      <c r="I9" s="212" t="s">
        <v>66</v>
      </c>
      <c r="J9" s="11" t="s">
        <v>67</v>
      </c>
      <c r="K9" s="12">
        <v>3400</v>
      </c>
      <c r="L9" s="12">
        <v>0</v>
      </c>
      <c r="M9" s="13">
        <v>100</v>
      </c>
      <c r="N9" s="13">
        <f t="shared" si="0"/>
        <v>3500</v>
      </c>
      <c r="O9" s="12">
        <v>0</v>
      </c>
    </row>
  </sheetData>
  <sortState xmlns:xlrd2="http://schemas.microsoft.com/office/spreadsheetml/2017/richdata2" ref="A3:O9">
    <sortCondition ref="G3:G9"/>
  </sortState>
  <conditionalFormatting sqref="A1:A2 E1:E2">
    <cfRule type="duplicateValues" dxfId="2663" priority="1543"/>
  </conditionalFormatting>
  <conditionalFormatting sqref="A1:A2">
    <cfRule type="duplicateValues" dxfId="2662" priority="751"/>
    <cfRule type="duplicateValues" dxfId="2661" priority="752"/>
    <cfRule type="duplicateValues" dxfId="2660" priority="753"/>
    <cfRule type="duplicateValues" dxfId="2659" priority="754"/>
    <cfRule type="duplicateValues" dxfId="2658" priority="755"/>
    <cfRule type="duplicateValues" dxfId="2657" priority="756"/>
  </conditionalFormatting>
  <conditionalFormatting sqref="A3:A9 E3:E9">
    <cfRule type="duplicateValues" dxfId="2656" priority="1545"/>
  </conditionalFormatting>
  <conditionalFormatting sqref="A3:A9">
    <cfRule type="duplicateValues" dxfId="2655" priority="1547"/>
    <cfRule type="duplicateValues" dxfId="2654" priority="1548"/>
    <cfRule type="duplicateValues" dxfId="2653" priority="1549"/>
    <cfRule type="duplicateValues" dxfId="2652" priority="1550"/>
    <cfRule type="duplicateValues" dxfId="2651" priority="1551"/>
    <cfRule type="duplicateValues" dxfId="2650" priority="1552"/>
  </conditionalFormatting>
  <conditionalFormatting sqref="E1:E2">
    <cfRule type="duplicateValues" dxfId="2649" priority="757"/>
    <cfRule type="duplicateValues" dxfId="2648" priority="758"/>
    <cfRule type="duplicateValues" dxfId="2647" priority="759"/>
    <cfRule type="duplicateValues" dxfId="2646" priority="760"/>
    <cfRule type="duplicateValues" dxfId="2645" priority="761"/>
  </conditionalFormatting>
  <conditionalFormatting sqref="E3:E9">
    <cfRule type="duplicateValues" dxfId="2644" priority="1553"/>
    <cfRule type="duplicateValues" dxfId="2643" priority="1554"/>
    <cfRule type="duplicateValues" dxfId="2642" priority="1555"/>
    <cfRule type="duplicateValues" dxfId="2641" priority="1556"/>
    <cfRule type="duplicateValues" dxfId="2640" priority="1557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445C2-0E82-4E31-889C-62189C8B42BD}">
  <sheetPr codeName="Hoja16">
    <tabColor theme="0" tint="-4.9989318521683403E-2"/>
  </sheetPr>
  <dimension ref="A1:R66"/>
  <sheetViews>
    <sheetView topLeftCell="K39" zoomScaleNormal="100" workbookViewId="0">
      <selection activeCell="A42" sqref="A42:XFD42"/>
    </sheetView>
  </sheetViews>
  <sheetFormatPr defaultColWidth="11.42578125" defaultRowHeight="15" customHeight="1"/>
  <cols>
    <col min="2" max="2" width="14.7109375" customWidth="1"/>
    <col min="3" max="3" width="9.42578125" customWidth="1"/>
    <col min="4" max="4" width="11.42578125" customWidth="1"/>
    <col min="5" max="5" width="16" customWidth="1"/>
    <col min="10" max="10" width="16.85546875" customWidth="1"/>
  </cols>
  <sheetData>
    <row r="1" spans="1:18" ht="15.6">
      <c r="A1" s="37"/>
      <c r="B1" s="37"/>
      <c r="C1" s="37"/>
      <c r="D1" s="37"/>
      <c r="E1" s="37"/>
      <c r="F1" s="37"/>
      <c r="G1" s="37"/>
      <c r="H1" s="37"/>
      <c r="I1" s="37"/>
      <c r="J1" s="38"/>
      <c r="K1" s="109"/>
      <c r="L1" s="109"/>
      <c r="M1" s="109"/>
      <c r="O1" s="95">
        <f>SUM(O3:O277)</f>
        <v>68500</v>
      </c>
    </row>
    <row r="2" spans="1:18" ht="27.6">
      <c r="A2" s="311" t="s">
        <v>45</v>
      </c>
      <c r="B2" s="311" t="s">
        <v>1506</v>
      </c>
      <c r="C2" s="311" t="s">
        <v>1507</v>
      </c>
      <c r="D2" s="311" t="s">
        <v>48</v>
      </c>
      <c r="E2" s="311" t="s">
        <v>49</v>
      </c>
      <c r="F2" s="311" t="s">
        <v>50</v>
      </c>
      <c r="G2" s="311" t="s">
        <v>51</v>
      </c>
      <c r="H2" s="311" t="s">
        <v>52</v>
      </c>
      <c r="I2" s="312" t="s">
        <v>53</v>
      </c>
      <c r="J2" s="311" t="s">
        <v>54</v>
      </c>
      <c r="K2" s="313" t="s">
        <v>58</v>
      </c>
      <c r="L2" s="314" t="s">
        <v>556</v>
      </c>
      <c r="M2" s="313" t="s">
        <v>676</v>
      </c>
      <c r="N2" s="110" t="s">
        <v>55</v>
      </c>
      <c r="O2" s="315"/>
    </row>
    <row r="3" spans="1:18" ht="60.6" customHeight="1">
      <c r="A3" s="15" t="s">
        <v>1508</v>
      </c>
      <c r="B3" s="15" t="s">
        <v>1509</v>
      </c>
      <c r="C3" s="15" t="s">
        <v>10</v>
      </c>
      <c r="D3" s="15" t="s">
        <v>559</v>
      </c>
      <c r="E3" s="15" t="s">
        <v>1510</v>
      </c>
      <c r="F3" s="17">
        <v>45959</v>
      </c>
      <c r="G3" s="17">
        <v>45993</v>
      </c>
      <c r="H3" s="17" t="s">
        <v>89</v>
      </c>
      <c r="I3" s="200" t="s">
        <v>621</v>
      </c>
      <c r="J3" s="19" t="s">
        <v>105</v>
      </c>
      <c r="K3" s="21">
        <v>2300</v>
      </c>
      <c r="L3" s="21">
        <v>0</v>
      </c>
      <c r="M3" s="21">
        <v>0</v>
      </c>
      <c r="N3" s="21">
        <v>2300</v>
      </c>
      <c r="O3" s="113">
        <v>2300</v>
      </c>
      <c r="Q3" s="132" t="s">
        <v>56</v>
      </c>
      <c r="R3" s="133" t="s">
        <v>57</v>
      </c>
    </row>
    <row r="4" spans="1:18" ht="60.6" customHeight="1">
      <c r="A4" s="316" t="s">
        <v>1511</v>
      </c>
      <c r="B4" s="316" t="s">
        <v>1509</v>
      </c>
      <c r="C4" s="316" t="s">
        <v>1512</v>
      </c>
      <c r="D4" s="316" t="s">
        <v>1362</v>
      </c>
      <c r="E4" s="317" t="s">
        <v>1513</v>
      </c>
      <c r="F4" s="318">
        <v>46024</v>
      </c>
      <c r="G4" s="318">
        <v>45691</v>
      </c>
      <c r="H4" s="319" t="s">
        <v>149</v>
      </c>
      <c r="I4" s="318" t="s">
        <v>648</v>
      </c>
      <c r="J4" s="320" t="s">
        <v>105</v>
      </c>
      <c r="K4" s="321">
        <v>1600</v>
      </c>
      <c r="L4" s="321">
        <v>0</v>
      </c>
      <c r="M4" s="321">
        <v>0</v>
      </c>
      <c r="N4" s="321">
        <f t="shared" ref="N4:N60" si="0">SUM(K4:M4)</f>
        <v>1600</v>
      </c>
      <c r="O4" s="322" t="s">
        <v>1514</v>
      </c>
      <c r="Q4" s="74">
        <v>46128</v>
      </c>
      <c r="R4" s="135">
        <v>26050</v>
      </c>
    </row>
    <row r="5" spans="1:18" ht="60.6" customHeight="1">
      <c r="A5" s="7" t="s">
        <v>1515</v>
      </c>
      <c r="B5" s="7" t="s">
        <v>1509</v>
      </c>
      <c r="C5" s="7" t="s">
        <v>1512</v>
      </c>
      <c r="D5" s="7" t="s">
        <v>1362</v>
      </c>
      <c r="E5" s="226" t="s">
        <v>1516</v>
      </c>
      <c r="F5" s="220">
        <v>46024</v>
      </c>
      <c r="G5" s="220">
        <v>45691</v>
      </c>
      <c r="H5" s="226" t="s">
        <v>149</v>
      </c>
      <c r="I5" s="220" t="s">
        <v>648</v>
      </c>
      <c r="J5" s="11" t="s">
        <v>105</v>
      </c>
      <c r="K5" s="13">
        <v>1600</v>
      </c>
      <c r="L5" s="13">
        <v>0</v>
      </c>
      <c r="M5" s="13">
        <v>0</v>
      </c>
      <c r="N5" s="13">
        <f t="shared" si="0"/>
        <v>1600</v>
      </c>
      <c r="O5" s="282" t="s">
        <v>1514</v>
      </c>
      <c r="Q5" s="74">
        <v>46245</v>
      </c>
      <c r="R5" s="135">
        <v>231900</v>
      </c>
    </row>
    <row r="6" spans="1:18" ht="60.6" customHeight="1">
      <c r="A6" s="15" t="s">
        <v>1517</v>
      </c>
      <c r="B6" s="15" t="s">
        <v>1509</v>
      </c>
      <c r="C6" s="15" t="s">
        <v>1512</v>
      </c>
      <c r="D6" s="15" t="s">
        <v>1362</v>
      </c>
      <c r="E6" s="200" t="s">
        <v>1518</v>
      </c>
      <c r="F6" s="23">
        <v>45668</v>
      </c>
      <c r="G6" s="23">
        <v>45692</v>
      </c>
      <c r="H6" s="200" t="s">
        <v>507</v>
      </c>
      <c r="I6" s="200" t="s">
        <v>240</v>
      </c>
      <c r="J6" s="19" t="s">
        <v>105</v>
      </c>
      <c r="K6" s="21">
        <v>1650</v>
      </c>
      <c r="L6" s="21">
        <v>0</v>
      </c>
      <c r="M6" s="21">
        <v>0</v>
      </c>
      <c r="N6" s="21">
        <f t="shared" si="0"/>
        <v>1650</v>
      </c>
      <c r="O6" s="21">
        <f>N6</f>
        <v>1650</v>
      </c>
    </row>
    <row r="7" spans="1:18" ht="60.6" customHeight="1">
      <c r="A7" s="15" t="s">
        <v>1519</v>
      </c>
      <c r="B7" s="15" t="s">
        <v>1509</v>
      </c>
      <c r="C7" s="15" t="s">
        <v>1512</v>
      </c>
      <c r="D7" s="15" t="s">
        <v>1362</v>
      </c>
      <c r="E7" s="200" t="s">
        <v>1520</v>
      </c>
      <c r="F7" s="23">
        <v>45668</v>
      </c>
      <c r="G7" s="23">
        <v>45692</v>
      </c>
      <c r="H7" s="200" t="s">
        <v>507</v>
      </c>
      <c r="I7" s="23" t="s">
        <v>240</v>
      </c>
      <c r="J7" s="19" t="s">
        <v>105</v>
      </c>
      <c r="K7" s="21">
        <v>1650</v>
      </c>
      <c r="L7" s="21">
        <v>0</v>
      </c>
      <c r="M7" s="21">
        <v>0</v>
      </c>
      <c r="N7" s="21">
        <f t="shared" si="0"/>
        <v>1650</v>
      </c>
      <c r="O7" s="21">
        <f>N7</f>
        <v>1650</v>
      </c>
    </row>
    <row r="8" spans="1:18" ht="60.6" customHeight="1">
      <c r="A8" s="7" t="s">
        <v>1521</v>
      </c>
      <c r="B8" s="7" t="s">
        <v>1509</v>
      </c>
      <c r="C8" s="7" t="s">
        <v>1512</v>
      </c>
      <c r="D8" s="7" t="s">
        <v>1362</v>
      </c>
      <c r="E8" s="226" t="s">
        <v>1522</v>
      </c>
      <c r="F8" s="220">
        <v>45661</v>
      </c>
      <c r="G8" s="220">
        <v>46053</v>
      </c>
      <c r="H8" s="226" t="s">
        <v>507</v>
      </c>
      <c r="I8" s="220" t="s">
        <v>648</v>
      </c>
      <c r="J8" s="11" t="s">
        <v>105</v>
      </c>
      <c r="K8" s="13">
        <v>1650</v>
      </c>
      <c r="L8" s="13">
        <v>0</v>
      </c>
      <c r="M8" s="13">
        <v>0</v>
      </c>
      <c r="N8" s="13">
        <f t="shared" si="0"/>
        <v>1650</v>
      </c>
      <c r="O8" s="282" t="s">
        <v>1514</v>
      </c>
    </row>
    <row r="9" spans="1:18" ht="60.6" customHeight="1">
      <c r="A9" s="7" t="s">
        <v>1523</v>
      </c>
      <c r="B9" s="7" t="s">
        <v>1509</v>
      </c>
      <c r="C9" s="7" t="s">
        <v>1512</v>
      </c>
      <c r="D9" s="7" t="s">
        <v>1362</v>
      </c>
      <c r="E9" s="7" t="s">
        <v>1524</v>
      </c>
      <c r="F9" s="9">
        <v>46033</v>
      </c>
      <c r="G9" s="9">
        <v>46057</v>
      </c>
      <c r="H9" s="7" t="s">
        <v>507</v>
      </c>
      <c r="I9" s="212" t="s">
        <v>240</v>
      </c>
      <c r="J9" s="11" t="s">
        <v>105</v>
      </c>
      <c r="K9" s="13">
        <v>1650</v>
      </c>
      <c r="L9" s="13">
        <v>0</v>
      </c>
      <c r="M9" s="13">
        <v>0</v>
      </c>
      <c r="N9" s="13">
        <f t="shared" si="0"/>
        <v>1650</v>
      </c>
      <c r="O9" s="230" t="s">
        <v>1525</v>
      </c>
    </row>
    <row r="10" spans="1:18" ht="60.6" customHeight="1">
      <c r="A10" s="323" t="s">
        <v>1526</v>
      </c>
      <c r="B10" s="323" t="s">
        <v>1509</v>
      </c>
      <c r="C10" s="323" t="s">
        <v>1512</v>
      </c>
      <c r="D10" s="7" t="s">
        <v>1362</v>
      </c>
      <c r="E10" s="7" t="s">
        <v>1527</v>
      </c>
      <c r="F10" s="9">
        <v>46037</v>
      </c>
      <c r="G10" s="9">
        <v>46059</v>
      </c>
      <c r="H10" s="7" t="s">
        <v>1528</v>
      </c>
      <c r="I10" s="212" t="s">
        <v>66</v>
      </c>
      <c r="J10" s="227" t="s">
        <v>1529</v>
      </c>
      <c r="K10" s="13">
        <v>1500</v>
      </c>
      <c r="L10" s="13">
        <v>1700</v>
      </c>
      <c r="M10" s="13">
        <v>0</v>
      </c>
      <c r="N10" s="13">
        <f t="shared" si="0"/>
        <v>3200</v>
      </c>
      <c r="O10" s="230" t="s">
        <v>1525</v>
      </c>
    </row>
    <row r="11" spans="1:18" ht="60.6" customHeight="1">
      <c r="A11" s="323" t="s">
        <v>1530</v>
      </c>
      <c r="B11" s="323" t="s">
        <v>1509</v>
      </c>
      <c r="C11" s="323" t="s">
        <v>10</v>
      </c>
      <c r="D11" s="7" t="s">
        <v>1362</v>
      </c>
      <c r="E11" s="7" t="s">
        <v>1531</v>
      </c>
      <c r="F11" s="9">
        <v>46036</v>
      </c>
      <c r="G11" s="9">
        <v>46064</v>
      </c>
      <c r="H11" s="7" t="s">
        <v>84</v>
      </c>
      <c r="I11" s="212" t="s">
        <v>240</v>
      </c>
      <c r="J11" s="227" t="s">
        <v>105</v>
      </c>
      <c r="K11" s="13">
        <v>1600</v>
      </c>
      <c r="L11" s="13">
        <v>0</v>
      </c>
      <c r="M11" s="13">
        <v>0</v>
      </c>
      <c r="N11" s="13">
        <f t="shared" si="0"/>
        <v>1600</v>
      </c>
      <c r="O11" s="230" t="s">
        <v>1525</v>
      </c>
      <c r="Q11" s="25"/>
    </row>
    <row r="12" spans="1:18" ht="60.6" customHeight="1">
      <c r="A12" s="323" t="s">
        <v>1532</v>
      </c>
      <c r="B12" s="323" t="s">
        <v>1509</v>
      </c>
      <c r="C12" s="323" t="s">
        <v>10</v>
      </c>
      <c r="D12" s="7" t="s">
        <v>1362</v>
      </c>
      <c r="E12" s="7" t="s">
        <v>1533</v>
      </c>
      <c r="F12" s="9">
        <v>46054</v>
      </c>
      <c r="G12" s="9">
        <v>46080</v>
      </c>
      <c r="H12" s="7" t="s">
        <v>507</v>
      </c>
      <c r="I12" s="212" t="s">
        <v>648</v>
      </c>
      <c r="J12" s="227" t="s">
        <v>1529</v>
      </c>
      <c r="K12" s="13">
        <v>1500</v>
      </c>
      <c r="L12" s="13">
        <v>1700</v>
      </c>
      <c r="M12" s="13">
        <v>0</v>
      </c>
      <c r="N12" s="13">
        <f t="shared" si="0"/>
        <v>3200</v>
      </c>
      <c r="O12" s="230" t="s">
        <v>1525</v>
      </c>
    </row>
    <row r="13" spans="1:18" ht="60.6" customHeight="1">
      <c r="A13" s="323" t="s">
        <v>1534</v>
      </c>
      <c r="B13" s="323" t="s">
        <v>1509</v>
      </c>
      <c r="C13" s="323" t="s">
        <v>1512</v>
      </c>
      <c r="D13" s="7" t="s">
        <v>1362</v>
      </c>
      <c r="E13" s="7" t="s">
        <v>1535</v>
      </c>
      <c r="F13" s="9">
        <v>46043</v>
      </c>
      <c r="G13" s="9">
        <v>46089</v>
      </c>
      <c r="H13" s="7" t="s">
        <v>1536</v>
      </c>
      <c r="I13" s="212" t="s">
        <v>645</v>
      </c>
      <c r="J13" s="227" t="s">
        <v>1537</v>
      </c>
      <c r="K13" s="13">
        <v>1150</v>
      </c>
      <c r="L13" s="13">
        <v>1700</v>
      </c>
      <c r="M13" s="13">
        <v>0</v>
      </c>
      <c r="N13" s="13">
        <f t="shared" si="0"/>
        <v>2850</v>
      </c>
      <c r="O13" s="230" t="s">
        <v>1525</v>
      </c>
    </row>
    <row r="14" spans="1:18" ht="60.6" customHeight="1">
      <c r="A14" s="323" t="s">
        <v>1538</v>
      </c>
      <c r="B14" s="323" t="s">
        <v>1509</v>
      </c>
      <c r="C14" s="323" t="s">
        <v>1512</v>
      </c>
      <c r="D14" s="7" t="s">
        <v>1362</v>
      </c>
      <c r="E14" s="7" t="s">
        <v>1539</v>
      </c>
      <c r="F14" s="9">
        <v>46043</v>
      </c>
      <c r="G14" s="9">
        <v>46089</v>
      </c>
      <c r="H14" s="7" t="s">
        <v>1536</v>
      </c>
      <c r="I14" s="212" t="s">
        <v>645</v>
      </c>
      <c r="J14" s="227" t="s">
        <v>1537</v>
      </c>
      <c r="K14" s="13">
        <v>1150</v>
      </c>
      <c r="L14" s="13">
        <v>1700</v>
      </c>
      <c r="M14" s="13">
        <v>0</v>
      </c>
      <c r="N14" s="13">
        <f t="shared" si="0"/>
        <v>2850</v>
      </c>
      <c r="O14" s="230" t="s">
        <v>1525</v>
      </c>
    </row>
    <row r="15" spans="1:18" ht="60.6" customHeight="1">
      <c r="A15" s="323" t="s">
        <v>1540</v>
      </c>
      <c r="B15" s="323" t="s">
        <v>1509</v>
      </c>
      <c r="C15" s="323" t="s">
        <v>10</v>
      </c>
      <c r="D15" s="7" t="s">
        <v>1362</v>
      </c>
      <c r="E15" s="7" t="s">
        <v>1541</v>
      </c>
      <c r="F15" s="9">
        <v>46043</v>
      </c>
      <c r="G15" s="9">
        <v>46089</v>
      </c>
      <c r="H15" s="7" t="s">
        <v>149</v>
      </c>
      <c r="I15" s="212" t="s">
        <v>645</v>
      </c>
      <c r="J15" s="227" t="s">
        <v>1529</v>
      </c>
      <c r="K15" s="13">
        <v>1150</v>
      </c>
      <c r="L15" s="13">
        <v>1700</v>
      </c>
      <c r="M15" s="13">
        <v>0</v>
      </c>
      <c r="N15" s="13">
        <f t="shared" si="0"/>
        <v>2850</v>
      </c>
      <c r="O15" s="230" t="s">
        <v>1525</v>
      </c>
    </row>
    <row r="16" spans="1:18" ht="60.6" customHeight="1">
      <c r="A16" s="323" t="s">
        <v>1542</v>
      </c>
      <c r="B16" s="323" t="s">
        <v>1509</v>
      </c>
      <c r="C16" s="323" t="s">
        <v>10</v>
      </c>
      <c r="D16" s="7" t="s">
        <v>1362</v>
      </c>
      <c r="E16" s="7" t="s">
        <v>1543</v>
      </c>
      <c r="F16" s="9">
        <v>46054</v>
      </c>
      <c r="G16" s="9">
        <v>46091</v>
      </c>
      <c r="H16" s="7" t="s">
        <v>482</v>
      </c>
      <c r="I16" s="212" t="s">
        <v>66</v>
      </c>
      <c r="J16" s="227" t="s">
        <v>105</v>
      </c>
      <c r="K16" s="13">
        <v>1550</v>
      </c>
      <c r="L16" s="13">
        <v>0</v>
      </c>
      <c r="M16" s="13">
        <v>0</v>
      </c>
      <c r="N16" s="13">
        <f t="shared" si="0"/>
        <v>1550</v>
      </c>
      <c r="O16" s="230" t="s">
        <v>1525</v>
      </c>
    </row>
    <row r="17" spans="1:17" ht="60.6" customHeight="1">
      <c r="A17" s="323" t="s">
        <v>1544</v>
      </c>
      <c r="B17" s="323" t="s">
        <v>1509</v>
      </c>
      <c r="C17" s="323" t="s">
        <v>10</v>
      </c>
      <c r="D17" s="7" t="s">
        <v>1362</v>
      </c>
      <c r="E17" s="7" t="s">
        <v>1545</v>
      </c>
      <c r="F17" s="9">
        <v>46066</v>
      </c>
      <c r="G17" s="9">
        <v>46096</v>
      </c>
      <c r="H17" s="7" t="s">
        <v>89</v>
      </c>
      <c r="I17" s="212" t="s">
        <v>240</v>
      </c>
      <c r="J17" s="227" t="s">
        <v>1529</v>
      </c>
      <c r="K17" s="13">
        <v>2650</v>
      </c>
      <c r="L17" s="13">
        <v>1700</v>
      </c>
      <c r="M17" s="13">
        <v>0</v>
      </c>
      <c r="N17" s="13">
        <f t="shared" si="0"/>
        <v>4350</v>
      </c>
      <c r="O17" s="282" t="s">
        <v>1525</v>
      </c>
      <c r="Q17" s="25"/>
    </row>
    <row r="18" spans="1:17" ht="60.6" customHeight="1">
      <c r="A18" s="323" t="s">
        <v>1546</v>
      </c>
      <c r="B18" s="323" t="s">
        <v>1509</v>
      </c>
      <c r="C18" s="323" t="s">
        <v>10</v>
      </c>
      <c r="D18" s="7" t="s">
        <v>1362</v>
      </c>
      <c r="E18" s="7" t="s">
        <v>1547</v>
      </c>
      <c r="F18" s="9">
        <v>46059</v>
      </c>
      <c r="G18" s="9">
        <v>46102</v>
      </c>
      <c r="H18" s="7" t="s">
        <v>149</v>
      </c>
      <c r="I18" s="212" t="s">
        <v>240</v>
      </c>
      <c r="J18" s="227" t="s">
        <v>1529</v>
      </c>
      <c r="K18" s="13">
        <v>1200</v>
      </c>
      <c r="L18" s="13">
        <v>1700</v>
      </c>
      <c r="M18" s="13">
        <v>0</v>
      </c>
      <c r="N18" s="13">
        <f t="shared" si="0"/>
        <v>2900</v>
      </c>
      <c r="O18" s="282" t="s">
        <v>1525</v>
      </c>
      <c r="Q18" s="25"/>
    </row>
    <row r="19" spans="1:17" ht="60.6" customHeight="1">
      <c r="A19" s="323" t="s">
        <v>1548</v>
      </c>
      <c r="B19" s="323" t="s">
        <v>1509</v>
      </c>
      <c r="C19" s="323" t="s">
        <v>10</v>
      </c>
      <c r="D19" s="7" t="s">
        <v>1362</v>
      </c>
      <c r="E19" s="7" t="s">
        <v>1549</v>
      </c>
      <c r="F19" s="9">
        <v>46122</v>
      </c>
      <c r="G19" s="9">
        <v>46154</v>
      </c>
      <c r="H19" s="7" t="s">
        <v>89</v>
      </c>
      <c r="I19" s="212" t="s">
        <v>648</v>
      </c>
      <c r="J19" s="227" t="s">
        <v>1529</v>
      </c>
      <c r="K19" s="13">
        <v>3500</v>
      </c>
      <c r="L19" s="13">
        <v>1700</v>
      </c>
      <c r="M19" s="13">
        <v>0</v>
      </c>
      <c r="N19" s="13">
        <f t="shared" si="0"/>
        <v>5200</v>
      </c>
      <c r="O19" s="282" t="s">
        <v>1514</v>
      </c>
      <c r="Q19" s="25"/>
    </row>
    <row r="20" spans="1:17" ht="60.6" customHeight="1">
      <c r="A20" s="201" t="s">
        <v>1550</v>
      </c>
      <c r="B20" s="201" t="s">
        <v>1509</v>
      </c>
      <c r="C20" s="201" t="s">
        <v>10</v>
      </c>
      <c r="D20" s="32" t="s">
        <v>1362</v>
      </c>
      <c r="E20" s="32" t="s">
        <v>1551</v>
      </c>
      <c r="F20" s="34">
        <v>46127</v>
      </c>
      <c r="G20" s="34">
        <v>46159</v>
      </c>
      <c r="H20" s="32" t="s">
        <v>149</v>
      </c>
      <c r="I20" s="77" t="s">
        <v>645</v>
      </c>
      <c r="J20" s="112" t="s">
        <v>105</v>
      </c>
      <c r="K20" s="21">
        <v>3100</v>
      </c>
      <c r="L20" s="113">
        <v>0</v>
      </c>
      <c r="M20" s="113">
        <v>0</v>
      </c>
      <c r="N20" s="21">
        <f t="shared" si="0"/>
        <v>3100</v>
      </c>
      <c r="O20" s="113">
        <f>N20</f>
        <v>3100</v>
      </c>
      <c r="Q20" s="25"/>
    </row>
    <row r="21" spans="1:17" ht="60.6" customHeight="1">
      <c r="A21" s="323" t="s">
        <v>1552</v>
      </c>
      <c r="B21" s="323" t="s">
        <v>1509</v>
      </c>
      <c r="C21" s="323" t="s">
        <v>10</v>
      </c>
      <c r="D21" s="7" t="s">
        <v>1362</v>
      </c>
      <c r="E21" s="7" t="s">
        <v>1553</v>
      </c>
      <c r="F21" s="9">
        <v>46142</v>
      </c>
      <c r="G21" s="9">
        <v>46166</v>
      </c>
      <c r="H21" s="7" t="s">
        <v>84</v>
      </c>
      <c r="I21" s="212" t="s">
        <v>240</v>
      </c>
      <c r="J21" s="227" t="s">
        <v>105</v>
      </c>
      <c r="K21" s="13">
        <v>2900</v>
      </c>
      <c r="L21" s="13">
        <v>0</v>
      </c>
      <c r="M21" s="13">
        <v>0</v>
      </c>
      <c r="N21" s="13">
        <f t="shared" si="0"/>
        <v>2900</v>
      </c>
      <c r="O21" s="282" t="s">
        <v>1514</v>
      </c>
      <c r="Q21" s="25"/>
    </row>
    <row r="22" spans="1:17" ht="60.6" customHeight="1">
      <c r="A22" s="323" t="s">
        <v>1554</v>
      </c>
      <c r="B22" s="323" t="s">
        <v>1509</v>
      </c>
      <c r="C22" s="323" t="s">
        <v>10</v>
      </c>
      <c r="D22" s="7" t="s">
        <v>1362</v>
      </c>
      <c r="E22" s="7" t="s">
        <v>1555</v>
      </c>
      <c r="F22" s="9">
        <v>46142</v>
      </c>
      <c r="G22" s="9">
        <v>46166</v>
      </c>
      <c r="H22" s="7" t="s">
        <v>84</v>
      </c>
      <c r="I22" s="212" t="s">
        <v>240</v>
      </c>
      <c r="J22" s="227" t="s">
        <v>105</v>
      </c>
      <c r="K22" s="13">
        <v>2900</v>
      </c>
      <c r="L22" s="13">
        <v>0</v>
      </c>
      <c r="M22" s="13">
        <v>0</v>
      </c>
      <c r="N22" s="13">
        <f t="shared" si="0"/>
        <v>2900</v>
      </c>
      <c r="O22" s="282" t="s">
        <v>1514</v>
      </c>
      <c r="Q22" s="25"/>
    </row>
    <row r="23" spans="1:17" ht="60.6" customHeight="1">
      <c r="A23" s="323" t="s">
        <v>1556</v>
      </c>
      <c r="B23" s="323" t="s">
        <v>1509</v>
      </c>
      <c r="C23" s="323" t="s">
        <v>10</v>
      </c>
      <c r="D23" s="7" t="s">
        <v>1362</v>
      </c>
      <c r="E23" s="7" t="s">
        <v>1557</v>
      </c>
      <c r="F23" s="9">
        <v>46134</v>
      </c>
      <c r="G23" s="9">
        <v>46166</v>
      </c>
      <c r="H23" s="7" t="s">
        <v>149</v>
      </c>
      <c r="I23" s="212" t="s">
        <v>645</v>
      </c>
      <c r="J23" s="227" t="s">
        <v>105</v>
      </c>
      <c r="K23" s="13">
        <v>3050</v>
      </c>
      <c r="L23" s="13">
        <v>0</v>
      </c>
      <c r="M23" s="13">
        <v>0</v>
      </c>
      <c r="N23" s="13">
        <f t="shared" si="0"/>
        <v>3050</v>
      </c>
      <c r="O23" s="282" t="s">
        <v>1514</v>
      </c>
      <c r="Q23" s="25"/>
    </row>
    <row r="24" spans="1:17" ht="60.6" customHeight="1">
      <c r="A24" s="323" t="s">
        <v>1558</v>
      </c>
      <c r="B24" s="323" t="s">
        <v>1509</v>
      </c>
      <c r="C24" s="323" t="s">
        <v>10</v>
      </c>
      <c r="D24" s="7" t="s">
        <v>1362</v>
      </c>
      <c r="E24" s="7" t="s">
        <v>1559</v>
      </c>
      <c r="F24" s="9">
        <v>46145</v>
      </c>
      <c r="G24" s="9">
        <v>46170</v>
      </c>
      <c r="H24" s="7" t="s">
        <v>507</v>
      </c>
      <c r="I24" s="212" t="s">
        <v>240</v>
      </c>
      <c r="J24" s="227" t="s">
        <v>105</v>
      </c>
      <c r="K24" s="13">
        <v>3450</v>
      </c>
      <c r="L24" s="13">
        <v>0</v>
      </c>
      <c r="M24" s="13">
        <v>0</v>
      </c>
      <c r="N24" s="13">
        <f t="shared" si="0"/>
        <v>3450</v>
      </c>
      <c r="O24" s="282" t="s">
        <v>1514</v>
      </c>
      <c r="Q24" s="25"/>
    </row>
    <row r="25" spans="1:17" ht="60.6" customHeight="1">
      <c r="A25" s="323" t="s">
        <v>1560</v>
      </c>
      <c r="B25" s="323" t="s">
        <v>1509</v>
      </c>
      <c r="C25" s="323" t="s">
        <v>10</v>
      </c>
      <c r="D25" s="7" t="s">
        <v>1362</v>
      </c>
      <c r="E25" s="7" t="s">
        <v>1561</v>
      </c>
      <c r="F25" s="9">
        <v>46145</v>
      </c>
      <c r="G25" s="9">
        <v>46170</v>
      </c>
      <c r="H25" s="7" t="s">
        <v>507</v>
      </c>
      <c r="I25" s="212" t="s">
        <v>240</v>
      </c>
      <c r="J25" s="227" t="s">
        <v>105</v>
      </c>
      <c r="K25" s="13">
        <v>3450</v>
      </c>
      <c r="L25" s="13">
        <v>0</v>
      </c>
      <c r="M25" s="13">
        <v>0</v>
      </c>
      <c r="N25" s="13">
        <f t="shared" si="0"/>
        <v>3450</v>
      </c>
      <c r="O25" s="282" t="s">
        <v>1514</v>
      </c>
      <c r="Q25" s="25"/>
    </row>
    <row r="26" spans="1:17" ht="60.6" customHeight="1">
      <c r="A26" s="323" t="s">
        <v>1562</v>
      </c>
      <c r="B26" s="323" t="s">
        <v>1509</v>
      </c>
      <c r="C26" s="323" t="s">
        <v>10</v>
      </c>
      <c r="D26" s="7" t="s">
        <v>1362</v>
      </c>
      <c r="E26" s="7" t="s">
        <v>1563</v>
      </c>
      <c r="F26" s="9">
        <v>46134</v>
      </c>
      <c r="G26" s="9">
        <v>46173</v>
      </c>
      <c r="H26" s="7" t="s">
        <v>149</v>
      </c>
      <c r="I26" s="212" t="s">
        <v>645</v>
      </c>
      <c r="J26" s="227" t="s">
        <v>105</v>
      </c>
      <c r="K26" s="13">
        <v>3050</v>
      </c>
      <c r="L26" s="13">
        <v>0</v>
      </c>
      <c r="M26" s="13">
        <v>0</v>
      </c>
      <c r="N26" s="13">
        <f t="shared" si="0"/>
        <v>3050</v>
      </c>
      <c r="O26" s="282" t="s">
        <v>1514</v>
      </c>
      <c r="Q26" s="25"/>
    </row>
    <row r="27" spans="1:17" ht="60.6" customHeight="1">
      <c r="A27" s="201" t="s">
        <v>1564</v>
      </c>
      <c r="B27" s="201" t="s">
        <v>1509</v>
      </c>
      <c r="C27" s="201" t="s">
        <v>10</v>
      </c>
      <c r="D27" s="32" t="s">
        <v>1362</v>
      </c>
      <c r="E27" s="32" t="s">
        <v>1565</v>
      </c>
      <c r="F27" s="34">
        <v>46157</v>
      </c>
      <c r="G27" s="34">
        <v>46190</v>
      </c>
      <c r="H27" s="32" t="s">
        <v>89</v>
      </c>
      <c r="I27" s="77" t="s">
        <v>648</v>
      </c>
      <c r="J27" s="112" t="s">
        <v>105</v>
      </c>
      <c r="K27" s="21">
        <v>4200</v>
      </c>
      <c r="L27" s="113">
        <v>0</v>
      </c>
      <c r="M27" s="113">
        <v>0</v>
      </c>
      <c r="N27" s="21">
        <f t="shared" si="0"/>
        <v>4200</v>
      </c>
      <c r="O27" s="113">
        <f>N27</f>
        <v>4200</v>
      </c>
      <c r="Q27" s="25"/>
    </row>
    <row r="28" spans="1:17" ht="60.6" customHeight="1">
      <c r="A28" s="201" t="s">
        <v>1566</v>
      </c>
      <c r="B28" s="201" t="s">
        <v>1509</v>
      </c>
      <c r="C28" s="201" t="s">
        <v>10</v>
      </c>
      <c r="D28" s="32" t="s">
        <v>1362</v>
      </c>
      <c r="E28" s="32" t="s">
        <v>1567</v>
      </c>
      <c r="F28" s="34">
        <v>46157</v>
      </c>
      <c r="G28" s="34">
        <v>46190</v>
      </c>
      <c r="H28" s="32" t="s">
        <v>89</v>
      </c>
      <c r="I28" s="77" t="s">
        <v>648</v>
      </c>
      <c r="J28" s="112" t="s">
        <v>105</v>
      </c>
      <c r="K28" s="21">
        <v>4200</v>
      </c>
      <c r="L28" s="113">
        <v>0</v>
      </c>
      <c r="M28" s="113">
        <v>0</v>
      </c>
      <c r="N28" s="21">
        <f t="shared" si="0"/>
        <v>4200</v>
      </c>
      <c r="O28" s="113">
        <f>N28</f>
        <v>4200</v>
      </c>
      <c r="Q28" s="25"/>
    </row>
    <row r="29" spans="1:17" ht="60.6" customHeight="1">
      <c r="A29" s="201" t="s">
        <v>1568</v>
      </c>
      <c r="B29" s="201" t="s">
        <v>1509</v>
      </c>
      <c r="C29" s="201" t="s">
        <v>10</v>
      </c>
      <c r="D29" s="32" t="s">
        <v>1362</v>
      </c>
      <c r="E29" s="32" t="s">
        <v>1569</v>
      </c>
      <c r="F29" s="34">
        <v>46157</v>
      </c>
      <c r="G29" s="34">
        <v>46190</v>
      </c>
      <c r="H29" s="32" t="s">
        <v>89</v>
      </c>
      <c r="I29" s="77" t="s">
        <v>648</v>
      </c>
      <c r="J29" s="112" t="s">
        <v>105</v>
      </c>
      <c r="K29" s="21">
        <v>4200</v>
      </c>
      <c r="L29" s="113">
        <v>0</v>
      </c>
      <c r="M29" s="113">
        <v>0</v>
      </c>
      <c r="N29" s="21">
        <f t="shared" si="0"/>
        <v>4200</v>
      </c>
      <c r="O29" s="113">
        <f>N29</f>
        <v>4200</v>
      </c>
      <c r="Q29" s="25"/>
    </row>
    <row r="30" spans="1:17" ht="60.6" customHeight="1">
      <c r="A30" s="323" t="s">
        <v>1570</v>
      </c>
      <c r="B30" s="323" t="s">
        <v>1509</v>
      </c>
      <c r="C30" s="323" t="s">
        <v>10</v>
      </c>
      <c r="D30" s="7" t="s">
        <v>1362</v>
      </c>
      <c r="E30" s="7" t="s">
        <v>1571</v>
      </c>
      <c r="F30" s="9">
        <v>46163</v>
      </c>
      <c r="G30" s="9">
        <v>46195</v>
      </c>
      <c r="H30" s="7" t="s">
        <v>89</v>
      </c>
      <c r="I30" s="212" t="s">
        <v>645</v>
      </c>
      <c r="J30" s="227" t="s">
        <v>1529</v>
      </c>
      <c r="K30" s="13">
        <v>4200</v>
      </c>
      <c r="L30" s="13">
        <v>1850</v>
      </c>
      <c r="M30" s="13">
        <v>0</v>
      </c>
      <c r="N30" s="13">
        <f t="shared" si="0"/>
        <v>6050</v>
      </c>
      <c r="O30" s="282" t="s">
        <v>1514</v>
      </c>
      <c r="Q30" s="25"/>
    </row>
    <row r="31" spans="1:17" ht="60.6" customHeight="1">
      <c r="A31" s="323" t="s">
        <v>1572</v>
      </c>
      <c r="B31" s="323" t="s">
        <v>1509</v>
      </c>
      <c r="C31" s="323" t="s">
        <v>10</v>
      </c>
      <c r="D31" s="7" t="s">
        <v>1362</v>
      </c>
      <c r="E31" s="7" t="s">
        <v>1573</v>
      </c>
      <c r="F31" s="9">
        <v>46163</v>
      </c>
      <c r="G31" s="9">
        <v>46195</v>
      </c>
      <c r="H31" s="7" t="s">
        <v>89</v>
      </c>
      <c r="I31" s="212" t="s">
        <v>645</v>
      </c>
      <c r="J31" s="227" t="s">
        <v>1529</v>
      </c>
      <c r="K31" s="13">
        <v>4200</v>
      </c>
      <c r="L31" s="13">
        <v>1850</v>
      </c>
      <c r="M31" s="13">
        <v>0</v>
      </c>
      <c r="N31" s="13">
        <f t="shared" si="0"/>
        <v>6050</v>
      </c>
      <c r="O31" s="282" t="s">
        <v>1514</v>
      </c>
      <c r="Q31" s="25"/>
    </row>
    <row r="32" spans="1:17" ht="60.6" customHeight="1">
      <c r="A32" s="323" t="s">
        <v>1574</v>
      </c>
      <c r="B32" s="323" t="s">
        <v>1509</v>
      </c>
      <c r="C32" s="323" t="s">
        <v>10</v>
      </c>
      <c r="D32" s="7" t="s">
        <v>1362</v>
      </c>
      <c r="E32" s="7" t="s">
        <v>1575</v>
      </c>
      <c r="F32" s="9">
        <v>46173</v>
      </c>
      <c r="G32" s="9">
        <v>46198</v>
      </c>
      <c r="H32" s="7" t="s">
        <v>507</v>
      </c>
      <c r="I32" s="212" t="s">
        <v>648</v>
      </c>
      <c r="J32" s="227" t="s">
        <v>105</v>
      </c>
      <c r="K32" s="13">
        <v>5600</v>
      </c>
      <c r="L32" s="13">
        <v>0</v>
      </c>
      <c r="M32" s="13">
        <v>0</v>
      </c>
      <c r="N32" s="13">
        <f t="shared" si="0"/>
        <v>5600</v>
      </c>
      <c r="O32" s="282" t="s">
        <v>1514</v>
      </c>
      <c r="Q32" s="25"/>
    </row>
    <row r="33" spans="1:17" ht="60.6" customHeight="1">
      <c r="A33" s="323" t="s">
        <v>1576</v>
      </c>
      <c r="B33" s="323" t="s">
        <v>1509</v>
      </c>
      <c r="C33" s="323" t="s">
        <v>10</v>
      </c>
      <c r="D33" s="7" t="s">
        <v>1362</v>
      </c>
      <c r="E33" s="7" t="s">
        <v>1577</v>
      </c>
      <c r="F33" s="9">
        <v>46173</v>
      </c>
      <c r="G33" s="9">
        <v>46198</v>
      </c>
      <c r="H33" s="7" t="s">
        <v>507</v>
      </c>
      <c r="I33" s="212" t="s">
        <v>648</v>
      </c>
      <c r="J33" s="227" t="s">
        <v>105</v>
      </c>
      <c r="K33" s="13">
        <v>5600</v>
      </c>
      <c r="L33" s="13">
        <v>0</v>
      </c>
      <c r="M33" s="13">
        <v>0</v>
      </c>
      <c r="N33" s="13">
        <f t="shared" si="0"/>
        <v>5600</v>
      </c>
      <c r="O33" s="282" t="s">
        <v>1514</v>
      </c>
      <c r="Q33" s="25"/>
    </row>
    <row r="34" spans="1:17" ht="60.6" customHeight="1">
      <c r="A34" s="323" t="s">
        <v>1578</v>
      </c>
      <c r="B34" s="323" t="s">
        <v>1509</v>
      </c>
      <c r="C34" s="323" t="s">
        <v>10</v>
      </c>
      <c r="D34" s="7" t="s">
        <v>1362</v>
      </c>
      <c r="E34" s="7" t="s">
        <v>1579</v>
      </c>
      <c r="F34" s="9">
        <v>46168</v>
      </c>
      <c r="G34" s="9">
        <v>46196</v>
      </c>
      <c r="H34" s="7" t="s">
        <v>100</v>
      </c>
      <c r="I34" s="212" t="s">
        <v>66</v>
      </c>
      <c r="J34" s="227" t="s">
        <v>105</v>
      </c>
      <c r="K34" s="13">
        <v>5000</v>
      </c>
      <c r="L34" s="13">
        <v>0</v>
      </c>
      <c r="M34" s="13">
        <v>0</v>
      </c>
      <c r="N34" s="13">
        <f t="shared" si="0"/>
        <v>5000</v>
      </c>
      <c r="O34" s="282" t="s">
        <v>1514</v>
      </c>
      <c r="Q34" s="25"/>
    </row>
    <row r="35" spans="1:17" ht="60.6" customHeight="1">
      <c r="A35" s="323" t="s">
        <v>1580</v>
      </c>
      <c r="B35" s="323" t="s">
        <v>1509</v>
      </c>
      <c r="C35" s="323" t="s">
        <v>10</v>
      </c>
      <c r="D35" s="7" t="s">
        <v>1362</v>
      </c>
      <c r="E35" s="7" t="s">
        <v>1581</v>
      </c>
      <c r="F35" s="9">
        <v>46177</v>
      </c>
      <c r="G35" s="9">
        <v>46198</v>
      </c>
      <c r="H35" s="7" t="s">
        <v>507</v>
      </c>
      <c r="I35" s="212" t="s">
        <v>66</v>
      </c>
      <c r="J35" s="227" t="s">
        <v>105</v>
      </c>
      <c r="K35" s="13">
        <v>6100</v>
      </c>
      <c r="L35" s="13">
        <v>0</v>
      </c>
      <c r="M35" s="13">
        <v>0</v>
      </c>
      <c r="N35" s="13">
        <f t="shared" si="0"/>
        <v>6100</v>
      </c>
      <c r="O35" s="282" t="s">
        <v>1514</v>
      </c>
      <c r="Q35" s="25"/>
    </row>
    <row r="36" spans="1:17" ht="60.6" customHeight="1">
      <c r="A36" s="323" t="s">
        <v>1582</v>
      </c>
      <c r="B36" s="323" t="s">
        <v>1509</v>
      </c>
      <c r="C36" s="323" t="s">
        <v>10</v>
      </c>
      <c r="D36" s="7" t="s">
        <v>1362</v>
      </c>
      <c r="E36" s="7" t="s">
        <v>1583</v>
      </c>
      <c r="F36" s="9">
        <v>46180</v>
      </c>
      <c r="G36" s="9">
        <v>46206</v>
      </c>
      <c r="H36" s="7" t="s">
        <v>507</v>
      </c>
      <c r="I36" s="212" t="s">
        <v>648</v>
      </c>
      <c r="J36" s="227" t="s">
        <v>105</v>
      </c>
      <c r="K36" s="13">
        <v>6100</v>
      </c>
      <c r="L36" s="13">
        <v>0</v>
      </c>
      <c r="M36" s="13">
        <v>0</v>
      </c>
      <c r="N36" s="13">
        <f t="shared" si="0"/>
        <v>6100</v>
      </c>
      <c r="O36" s="282" t="s">
        <v>1514</v>
      </c>
      <c r="Q36" s="25"/>
    </row>
    <row r="37" spans="1:17" ht="60.6" customHeight="1">
      <c r="A37" s="323" t="s">
        <v>1584</v>
      </c>
      <c r="B37" s="323" t="s">
        <v>1509</v>
      </c>
      <c r="C37" s="323" t="s">
        <v>10</v>
      </c>
      <c r="D37" s="7" t="s">
        <v>1362</v>
      </c>
      <c r="E37" s="7" t="s">
        <v>1585</v>
      </c>
      <c r="F37" s="9">
        <v>46180</v>
      </c>
      <c r="G37" s="9">
        <v>46206</v>
      </c>
      <c r="H37" s="7" t="s">
        <v>507</v>
      </c>
      <c r="I37" s="212" t="s">
        <v>648</v>
      </c>
      <c r="J37" s="227" t="s">
        <v>105</v>
      </c>
      <c r="K37" s="13">
        <v>6100</v>
      </c>
      <c r="L37" s="13">
        <v>0</v>
      </c>
      <c r="M37" s="13">
        <v>0</v>
      </c>
      <c r="N37" s="13">
        <f t="shared" si="0"/>
        <v>6100</v>
      </c>
      <c r="O37" s="282" t="s">
        <v>1514</v>
      </c>
      <c r="Q37" s="25"/>
    </row>
    <row r="38" spans="1:17" ht="60.6" customHeight="1">
      <c r="A38" s="323" t="s">
        <v>1586</v>
      </c>
      <c r="B38" s="323" t="s">
        <v>1509</v>
      </c>
      <c r="C38" s="323" t="s">
        <v>10</v>
      </c>
      <c r="D38" s="7" t="s">
        <v>1362</v>
      </c>
      <c r="E38" s="7" t="s">
        <v>1587</v>
      </c>
      <c r="F38" s="9">
        <v>46185</v>
      </c>
      <c r="G38" s="9">
        <v>46210</v>
      </c>
      <c r="H38" s="7" t="s">
        <v>507</v>
      </c>
      <c r="I38" s="212" t="s">
        <v>66</v>
      </c>
      <c r="J38" s="227" t="s">
        <v>105</v>
      </c>
      <c r="K38" s="13">
        <v>6600</v>
      </c>
      <c r="L38" s="13">
        <v>0</v>
      </c>
      <c r="M38" s="13">
        <v>0</v>
      </c>
      <c r="N38" s="13">
        <f t="shared" si="0"/>
        <v>6600</v>
      </c>
      <c r="O38" s="282" t="s">
        <v>1514</v>
      </c>
      <c r="Q38" s="25"/>
    </row>
    <row r="39" spans="1:17" ht="60.6" customHeight="1">
      <c r="A39" s="323" t="s">
        <v>1588</v>
      </c>
      <c r="B39" s="323" t="s">
        <v>1509</v>
      </c>
      <c r="C39" s="323" t="s">
        <v>10</v>
      </c>
      <c r="D39" s="7" t="s">
        <v>1362</v>
      </c>
      <c r="E39" s="7" t="s">
        <v>1589</v>
      </c>
      <c r="F39" s="9">
        <v>46187</v>
      </c>
      <c r="G39" s="9">
        <v>46210</v>
      </c>
      <c r="H39" s="7" t="s">
        <v>507</v>
      </c>
      <c r="I39" s="212" t="s">
        <v>648</v>
      </c>
      <c r="J39" s="227" t="s">
        <v>105</v>
      </c>
      <c r="K39" s="13">
        <v>6600</v>
      </c>
      <c r="L39" s="13">
        <v>0</v>
      </c>
      <c r="M39" s="13">
        <v>0</v>
      </c>
      <c r="N39" s="13">
        <f t="shared" si="0"/>
        <v>6600</v>
      </c>
      <c r="O39" s="282" t="s">
        <v>1514</v>
      </c>
      <c r="Q39" s="25"/>
    </row>
    <row r="40" spans="1:17" ht="60.6" customHeight="1">
      <c r="A40" s="323" t="s">
        <v>1590</v>
      </c>
      <c r="B40" s="323" t="s">
        <v>1509</v>
      </c>
      <c r="C40" s="323" t="s">
        <v>10</v>
      </c>
      <c r="D40" s="7" t="s">
        <v>1362</v>
      </c>
      <c r="E40" s="7" t="s">
        <v>1591</v>
      </c>
      <c r="F40" s="9">
        <v>46188</v>
      </c>
      <c r="G40" s="9">
        <v>46220</v>
      </c>
      <c r="H40" s="7" t="s">
        <v>89</v>
      </c>
      <c r="I40" s="212" t="s">
        <v>66</v>
      </c>
      <c r="J40" s="227" t="s">
        <v>105</v>
      </c>
      <c r="K40" s="13">
        <v>6950</v>
      </c>
      <c r="L40" s="13">
        <v>0</v>
      </c>
      <c r="M40" s="13">
        <v>0</v>
      </c>
      <c r="N40" s="13">
        <f t="shared" si="0"/>
        <v>6950</v>
      </c>
      <c r="O40" s="282" t="s">
        <v>1514</v>
      </c>
      <c r="Q40" s="25"/>
    </row>
    <row r="41" spans="1:17" ht="60.6" customHeight="1">
      <c r="A41" s="323" t="s">
        <v>1592</v>
      </c>
      <c r="B41" s="323" t="s">
        <v>1509</v>
      </c>
      <c r="C41" s="323" t="s">
        <v>10</v>
      </c>
      <c r="D41" s="7" t="s">
        <v>1362</v>
      </c>
      <c r="E41" s="7" t="s">
        <v>1334</v>
      </c>
      <c r="F41" s="9">
        <v>46188</v>
      </c>
      <c r="G41" s="9">
        <v>46220</v>
      </c>
      <c r="H41" s="7" t="s">
        <v>89</v>
      </c>
      <c r="I41" s="212" t="s">
        <v>66</v>
      </c>
      <c r="J41" s="227" t="s">
        <v>105</v>
      </c>
      <c r="K41" s="13">
        <v>6950</v>
      </c>
      <c r="L41" s="13">
        <v>0</v>
      </c>
      <c r="M41" s="13">
        <v>0</v>
      </c>
      <c r="N41" s="13">
        <f t="shared" si="0"/>
        <v>6950</v>
      </c>
      <c r="O41" s="282" t="s">
        <v>1514</v>
      </c>
      <c r="Q41" s="25"/>
    </row>
    <row r="42" spans="1:17" ht="60.6" customHeight="1">
      <c r="A42" s="323" t="s">
        <v>1593</v>
      </c>
      <c r="B42" s="323" t="s">
        <v>1509</v>
      </c>
      <c r="C42" s="323" t="s">
        <v>10</v>
      </c>
      <c r="D42" s="7" t="s">
        <v>1362</v>
      </c>
      <c r="E42" s="7" t="s">
        <v>1594</v>
      </c>
      <c r="F42" s="9">
        <v>46202</v>
      </c>
      <c r="G42" s="9">
        <v>46224</v>
      </c>
      <c r="H42" s="7" t="s">
        <v>89</v>
      </c>
      <c r="I42" s="212" t="s">
        <v>648</v>
      </c>
      <c r="J42" s="227" t="s">
        <v>105</v>
      </c>
      <c r="K42" s="13">
        <v>6950</v>
      </c>
      <c r="L42" s="13">
        <v>0</v>
      </c>
      <c r="M42" s="13">
        <v>0</v>
      </c>
      <c r="N42" s="13">
        <f t="shared" si="0"/>
        <v>6950</v>
      </c>
      <c r="O42" s="282" t="s">
        <v>1514</v>
      </c>
      <c r="Q42" s="25"/>
    </row>
    <row r="43" spans="1:17" ht="60.6" customHeight="1">
      <c r="A43" s="323" t="s">
        <v>1595</v>
      </c>
      <c r="B43" s="323" t="s">
        <v>1509</v>
      </c>
      <c r="C43" s="323" t="s">
        <v>10</v>
      </c>
      <c r="D43" s="7" t="s">
        <v>1362</v>
      </c>
      <c r="E43" s="7" t="s">
        <v>1596</v>
      </c>
      <c r="F43" s="9">
        <v>46202</v>
      </c>
      <c r="G43" s="9">
        <v>46224</v>
      </c>
      <c r="H43" s="7" t="s">
        <v>89</v>
      </c>
      <c r="I43" s="212" t="s">
        <v>648</v>
      </c>
      <c r="J43" s="227" t="s">
        <v>105</v>
      </c>
      <c r="K43" s="13">
        <v>6950</v>
      </c>
      <c r="L43" s="13">
        <v>0</v>
      </c>
      <c r="M43" s="13">
        <v>0</v>
      </c>
      <c r="N43" s="13">
        <f t="shared" si="0"/>
        <v>6950</v>
      </c>
      <c r="O43" s="282" t="s">
        <v>1514</v>
      </c>
      <c r="Q43" s="25"/>
    </row>
    <row r="44" spans="1:17" ht="60.6" customHeight="1">
      <c r="A44" s="323" t="s">
        <v>1597</v>
      </c>
      <c r="B44" s="323" t="s">
        <v>1509</v>
      </c>
      <c r="C44" s="323" t="s">
        <v>10</v>
      </c>
      <c r="D44" s="7" t="s">
        <v>1362</v>
      </c>
      <c r="E44" s="7" t="s">
        <v>1598</v>
      </c>
      <c r="F44" s="9">
        <v>46196</v>
      </c>
      <c r="G44" s="9">
        <v>46225</v>
      </c>
      <c r="H44" s="7" t="s">
        <v>84</v>
      </c>
      <c r="I44" s="212" t="s">
        <v>66</v>
      </c>
      <c r="J44" s="227" t="s">
        <v>105</v>
      </c>
      <c r="K44" s="13">
        <v>6750</v>
      </c>
      <c r="L44" s="13">
        <v>0</v>
      </c>
      <c r="M44" s="13">
        <v>0</v>
      </c>
      <c r="N44" s="13">
        <f t="shared" si="0"/>
        <v>6750</v>
      </c>
      <c r="O44" s="282" t="s">
        <v>1514</v>
      </c>
      <c r="Q44" s="25"/>
    </row>
    <row r="45" spans="1:17" ht="60.6" customHeight="1">
      <c r="A45" s="323" t="s">
        <v>1599</v>
      </c>
      <c r="B45" s="323" t="s">
        <v>1509</v>
      </c>
      <c r="C45" s="323" t="s">
        <v>10</v>
      </c>
      <c r="D45" s="7" t="s">
        <v>1362</v>
      </c>
      <c r="E45" s="7" t="s">
        <v>1600</v>
      </c>
      <c r="F45" s="9">
        <v>46196</v>
      </c>
      <c r="G45" s="9">
        <v>46225</v>
      </c>
      <c r="H45" s="7" t="s">
        <v>84</v>
      </c>
      <c r="I45" s="212" t="s">
        <v>66</v>
      </c>
      <c r="J45" s="227" t="s">
        <v>105</v>
      </c>
      <c r="K45" s="13">
        <v>6750</v>
      </c>
      <c r="L45" s="13">
        <v>0</v>
      </c>
      <c r="M45" s="13">
        <v>0</v>
      </c>
      <c r="N45" s="13">
        <f t="shared" si="0"/>
        <v>6750</v>
      </c>
      <c r="O45" s="282" t="s">
        <v>1514</v>
      </c>
      <c r="Q45" s="25"/>
    </row>
    <row r="46" spans="1:17" ht="60.6" customHeight="1">
      <c r="A46" s="323" t="s">
        <v>1601</v>
      </c>
      <c r="B46" s="323" t="s">
        <v>1509</v>
      </c>
      <c r="C46" s="323" t="s">
        <v>10</v>
      </c>
      <c r="D46" s="7" t="s">
        <v>1362</v>
      </c>
      <c r="E46" s="7" t="s">
        <v>1602</v>
      </c>
      <c r="F46" s="9">
        <v>46203</v>
      </c>
      <c r="G46" s="9">
        <v>46233</v>
      </c>
      <c r="H46" s="7" t="s">
        <v>100</v>
      </c>
      <c r="I46" s="212" t="s">
        <v>66</v>
      </c>
      <c r="J46" s="227" t="s">
        <v>603</v>
      </c>
      <c r="K46" s="13">
        <v>6350</v>
      </c>
      <c r="L46" s="13">
        <v>1700</v>
      </c>
      <c r="M46" s="13">
        <v>0</v>
      </c>
      <c r="N46" s="13">
        <f t="shared" si="0"/>
        <v>8050</v>
      </c>
      <c r="O46" s="282" t="s">
        <v>1514</v>
      </c>
      <c r="Q46" s="25"/>
    </row>
    <row r="47" spans="1:17" ht="60.6" customHeight="1">
      <c r="A47" s="323" t="s">
        <v>1603</v>
      </c>
      <c r="B47" s="323" t="s">
        <v>1509</v>
      </c>
      <c r="C47" s="323" t="s">
        <v>10</v>
      </c>
      <c r="D47" s="7" t="s">
        <v>1362</v>
      </c>
      <c r="E47" s="7" t="s">
        <v>1604</v>
      </c>
      <c r="F47" s="9">
        <v>46203</v>
      </c>
      <c r="G47" s="9">
        <v>46233</v>
      </c>
      <c r="H47" s="7" t="s">
        <v>100</v>
      </c>
      <c r="I47" s="212" t="s">
        <v>66</v>
      </c>
      <c r="J47" s="227" t="s">
        <v>603</v>
      </c>
      <c r="K47" s="13">
        <v>6350</v>
      </c>
      <c r="L47" s="13">
        <v>1700</v>
      </c>
      <c r="M47" s="13">
        <v>0</v>
      </c>
      <c r="N47" s="13">
        <f t="shared" si="0"/>
        <v>8050</v>
      </c>
      <c r="O47" s="282" t="s">
        <v>1514</v>
      </c>
      <c r="Q47" s="25"/>
    </row>
    <row r="48" spans="1:17" ht="60.6" customHeight="1">
      <c r="A48" s="323" t="s">
        <v>1605</v>
      </c>
      <c r="B48" s="323" t="s">
        <v>1509</v>
      </c>
      <c r="C48" s="323" t="s">
        <v>10</v>
      </c>
      <c r="D48" s="7" t="s">
        <v>1362</v>
      </c>
      <c r="E48" s="7" t="s">
        <v>1606</v>
      </c>
      <c r="F48" s="9">
        <v>46205</v>
      </c>
      <c r="G48" s="9">
        <v>46089</v>
      </c>
      <c r="H48" s="7" t="s">
        <v>84</v>
      </c>
      <c r="I48" s="212" t="s">
        <v>645</v>
      </c>
      <c r="J48" s="227" t="s">
        <v>603</v>
      </c>
      <c r="K48" s="13">
        <v>6500</v>
      </c>
      <c r="L48" s="13">
        <v>1700</v>
      </c>
      <c r="M48" s="13">
        <v>0</v>
      </c>
      <c r="N48" s="13">
        <f t="shared" si="0"/>
        <v>8200</v>
      </c>
      <c r="O48" s="282" t="s">
        <v>1514</v>
      </c>
      <c r="Q48" s="25"/>
    </row>
    <row r="49" spans="1:17" ht="60.6" customHeight="1">
      <c r="A49" s="323" t="s">
        <v>1607</v>
      </c>
      <c r="B49" s="323" t="s">
        <v>1509</v>
      </c>
      <c r="C49" s="323" t="s">
        <v>10</v>
      </c>
      <c r="D49" s="7" t="s">
        <v>1362</v>
      </c>
      <c r="E49" s="7" t="s">
        <v>1608</v>
      </c>
      <c r="F49" s="9">
        <v>46205</v>
      </c>
      <c r="G49" s="9">
        <v>46230</v>
      </c>
      <c r="H49" s="7" t="s">
        <v>84</v>
      </c>
      <c r="I49" s="212" t="s">
        <v>645</v>
      </c>
      <c r="J49" s="227" t="s">
        <v>603</v>
      </c>
      <c r="K49" s="13">
        <v>6500</v>
      </c>
      <c r="L49" s="13">
        <v>1700</v>
      </c>
      <c r="M49" s="13">
        <v>0</v>
      </c>
      <c r="N49" s="13">
        <f t="shared" si="0"/>
        <v>8200</v>
      </c>
      <c r="O49" s="282" t="s">
        <v>1514</v>
      </c>
      <c r="Q49" s="25"/>
    </row>
    <row r="50" spans="1:17" ht="60.6" customHeight="1">
      <c r="A50" s="323" t="s">
        <v>1609</v>
      </c>
      <c r="B50" s="323" t="s">
        <v>1509</v>
      </c>
      <c r="C50" s="323" t="s">
        <v>10</v>
      </c>
      <c r="D50" s="7" t="s">
        <v>1362</v>
      </c>
      <c r="E50" s="7" t="s">
        <v>1610</v>
      </c>
      <c r="F50" s="9">
        <v>46209</v>
      </c>
      <c r="G50" s="9">
        <v>46245</v>
      </c>
      <c r="H50" s="7" t="s">
        <v>89</v>
      </c>
      <c r="I50" s="212" t="s">
        <v>648</v>
      </c>
      <c r="J50" s="227" t="s">
        <v>105</v>
      </c>
      <c r="K50" s="13">
        <v>6300</v>
      </c>
      <c r="L50" s="13">
        <v>0</v>
      </c>
      <c r="M50" s="13">
        <v>0</v>
      </c>
      <c r="N50" s="13">
        <f t="shared" si="0"/>
        <v>6300</v>
      </c>
      <c r="O50" s="282" t="s">
        <v>1514</v>
      </c>
      <c r="Q50" s="25"/>
    </row>
    <row r="51" spans="1:17" ht="60.6" customHeight="1">
      <c r="A51" s="323" t="s">
        <v>1611</v>
      </c>
      <c r="B51" s="323" t="s">
        <v>1509</v>
      </c>
      <c r="C51" s="323" t="s">
        <v>10</v>
      </c>
      <c r="D51" s="7" t="s">
        <v>1362</v>
      </c>
      <c r="E51" s="7" t="s">
        <v>1612</v>
      </c>
      <c r="F51" s="9">
        <v>46208</v>
      </c>
      <c r="G51" s="9">
        <v>46230</v>
      </c>
      <c r="H51" s="7" t="s">
        <v>84</v>
      </c>
      <c r="I51" s="212" t="s">
        <v>66</v>
      </c>
      <c r="J51" s="227" t="s">
        <v>105</v>
      </c>
      <c r="K51" s="13">
        <v>6750</v>
      </c>
      <c r="L51" s="13">
        <v>0</v>
      </c>
      <c r="M51" s="13">
        <v>0</v>
      </c>
      <c r="N51" s="13">
        <f t="shared" si="0"/>
        <v>6750</v>
      </c>
      <c r="O51" s="282" t="s">
        <v>1514</v>
      </c>
      <c r="Q51" s="25"/>
    </row>
    <row r="52" spans="1:17" ht="60.6" customHeight="1">
      <c r="A52" s="323" t="s">
        <v>1613</v>
      </c>
      <c r="B52" s="323" t="s">
        <v>1509</v>
      </c>
      <c r="C52" s="323" t="s">
        <v>10</v>
      </c>
      <c r="D52" s="7" t="s">
        <v>1362</v>
      </c>
      <c r="E52" s="7" t="s">
        <v>1614</v>
      </c>
      <c r="F52" s="9">
        <v>46207</v>
      </c>
      <c r="G52" s="9">
        <v>46225</v>
      </c>
      <c r="H52" s="7" t="s">
        <v>100</v>
      </c>
      <c r="I52" s="212" t="s">
        <v>85</v>
      </c>
      <c r="J52" s="227" t="s">
        <v>105</v>
      </c>
      <c r="K52" s="13">
        <v>7650</v>
      </c>
      <c r="L52" s="13">
        <v>0</v>
      </c>
      <c r="M52" s="13">
        <v>0</v>
      </c>
      <c r="N52" s="13">
        <f t="shared" si="0"/>
        <v>7650</v>
      </c>
      <c r="O52" s="282" t="s">
        <v>1514</v>
      </c>
      <c r="Q52" s="25"/>
    </row>
    <row r="53" spans="1:17" ht="60.6" customHeight="1">
      <c r="A53" s="323" t="s">
        <v>1615</v>
      </c>
      <c r="B53" s="323" t="s">
        <v>1509</v>
      </c>
      <c r="C53" s="323" t="s">
        <v>10</v>
      </c>
      <c r="D53" s="7" t="s">
        <v>1362</v>
      </c>
      <c r="E53" s="7" t="s">
        <v>1616</v>
      </c>
      <c r="F53" s="9">
        <v>46212</v>
      </c>
      <c r="G53" s="9">
        <v>46240</v>
      </c>
      <c r="H53" s="7" t="s">
        <v>100</v>
      </c>
      <c r="I53" s="212" t="s">
        <v>66</v>
      </c>
      <c r="J53" s="227" t="s">
        <v>105</v>
      </c>
      <c r="K53" s="13">
        <v>6200</v>
      </c>
      <c r="L53" s="13">
        <v>0</v>
      </c>
      <c r="M53" s="13">
        <v>0</v>
      </c>
      <c r="N53" s="13">
        <f t="shared" si="0"/>
        <v>6200</v>
      </c>
      <c r="O53" s="282" t="s">
        <v>1514</v>
      </c>
      <c r="Q53" s="25"/>
    </row>
    <row r="54" spans="1:17" ht="60.6" customHeight="1">
      <c r="A54" s="323" t="s">
        <v>1617</v>
      </c>
      <c r="B54" s="323" t="s">
        <v>1509</v>
      </c>
      <c r="C54" s="323" t="s">
        <v>10</v>
      </c>
      <c r="D54" s="7" t="s">
        <v>1362</v>
      </c>
      <c r="E54" s="7" t="s">
        <v>1618</v>
      </c>
      <c r="F54" s="9">
        <v>46219</v>
      </c>
      <c r="G54" s="9">
        <v>46253</v>
      </c>
      <c r="H54" s="7" t="s">
        <v>84</v>
      </c>
      <c r="I54" s="212" t="s">
        <v>645</v>
      </c>
      <c r="J54" s="227" t="s">
        <v>603</v>
      </c>
      <c r="K54" s="13">
        <v>5100</v>
      </c>
      <c r="L54" s="13">
        <v>1700</v>
      </c>
      <c r="M54" s="13">
        <v>0</v>
      </c>
      <c r="N54" s="13">
        <f t="shared" si="0"/>
        <v>6800</v>
      </c>
      <c r="O54" s="282" t="s">
        <v>1514</v>
      </c>
      <c r="Q54" s="25"/>
    </row>
    <row r="55" spans="1:17" ht="60.6" customHeight="1">
      <c r="A55" s="323" t="s">
        <v>1619</v>
      </c>
      <c r="B55" s="323" t="s">
        <v>1509</v>
      </c>
      <c r="C55" s="323" t="s">
        <v>10</v>
      </c>
      <c r="D55" s="7" t="s">
        <v>1362</v>
      </c>
      <c r="E55" s="7" t="s">
        <v>1620</v>
      </c>
      <c r="F55" s="9">
        <v>46219</v>
      </c>
      <c r="G55" s="9">
        <v>46253</v>
      </c>
      <c r="H55" s="7" t="s">
        <v>84</v>
      </c>
      <c r="I55" s="212" t="s">
        <v>645</v>
      </c>
      <c r="J55" s="227" t="s">
        <v>603</v>
      </c>
      <c r="K55" s="13">
        <v>5100</v>
      </c>
      <c r="L55" s="13">
        <v>1700</v>
      </c>
      <c r="M55" s="13">
        <v>0</v>
      </c>
      <c r="N55" s="13">
        <f t="shared" si="0"/>
        <v>6800</v>
      </c>
      <c r="O55" s="282" t="s">
        <v>1514</v>
      </c>
      <c r="Q55" s="25"/>
    </row>
    <row r="56" spans="1:17" ht="60.6" customHeight="1">
      <c r="A56" s="323" t="s">
        <v>1621</v>
      </c>
      <c r="B56" s="323" t="s">
        <v>1509</v>
      </c>
      <c r="C56" s="323" t="s">
        <v>10</v>
      </c>
      <c r="D56" s="7" t="s">
        <v>1362</v>
      </c>
      <c r="E56" s="7" t="s">
        <v>1622</v>
      </c>
      <c r="F56" s="9">
        <v>46210</v>
      </c>
      <c r="G56" s="9">
        <v>46240</v>
      </c>
      <c r="H56" s="7" t="s">
        <v>100</v>
      </c>
      <c r="I56" s="212" t="s">
        <v>66</v>
      </c>
      <c r="J56" s="227" t="s">
        <v>603</v>
      </c>
      <c r="K56" s="13">
        <v>5950</v>
      </c>
      <c r="L56" s="13">
        <v>1700</v>
      </c>
      <c r="M56" s="13">
        <v>0</v>
      </c>
      <c r="N56" s="13">
        <f t="shared" si="0"/>
        <v>7650</v>
      </c>
      <c r="O56" s="282" t="s">
        <v>1514</v>
      </c>
      <c r="Q56" s="25"/>
    </row>
    <row r="57" spans="1:17" ht="60.6" customHeight="1">
      <c r="A57" s="323" t="s">
        <v>1623</v>
      </c>
      <c r="B57" s="323" t="s">
        <v>1509</v>
      </c>
      <c r="C57" s="323" t="s">
        <v>10</v>
      </c>
      <c r="D57" s="7" t="s">
        <v>1362</v>
      </c>
      <c r="E57" s="7" t="s">
        <v>1624</v>
      </c>
      <c r="F57" s="9">
        <v>46217</v>
      </c>
      <c r="G57" s="9">
        <v>46245</v>
      </c>
      <c r="H57" s="7" t="s">
        <v>149</v>
      </c>
      <c r="I57" s="212" t="s">
        <v>66</v>
      </c>
      <c r="J57" s="227" t="s">
        <v>603</v>
      </c>
      <c r="K57" s="13">
        <v>5700</v>
      </c>
      <c r="L57" s="13">
        <v>1700</v>
      </c>
      <c r="M57" s="13">
        <v>0</v>
      </c>
      <c r="N57" s="13">
        <f>SUM(K57:M57)</f>
        <v>7400</v>
      </c>
      <c r="O57" s="282" t="s">
        <v>1514</v>
      </c>
      <c r="Q57" s="25"/>
    </row>
    <row r="58" spans="1:17" ht="60.6" customHeight="1">
      <c r="A58" s="201" t="s">
        <v>1625</v>
      </c>
      <c r="B58" s="201" t="s">
        <v>1509</v>
      </c>
      <c r="C58" s="201" t="s">
        <v>10</v>
      </c>
      <c r="D58" s="32" t="s">
        <v>1362</v>
      </c>
      <c r="E58" s="32" t="s">
        <v>1626</v>
      </c>
      <c r="F58" s="34">
        <v>46229</v>
      </c>
      <c r="G58" s="34">
        <v>46258</v>
      </c>
      <c r="H58" s="32" t="s">
        <v>507</v>
      </c>
      <c r="I58" s="77" t="s">
        <v>648</v>
      </c>
      <c r="J58" s="112" t="s">
        <v>105</v>
      </c>
      <c r="K58" s="21">
        <v>5000</v>
      </c>
      <c r="L58" s="113">
        <v>0</v>
      </c>
      <c r="M58" s="113">
        <v>0</v>
      </c>
      <c r="N58" s="21">
        <f t="shared" si="0"/>
        <v>5000</v>
      </c>
      <c r="O58" s="113">
        <f>N58</f>
        <v>5000</v>
      </c>
      <c r="Q58" s="25"/>
    </row>
    <row r="59" spans="1:17" ht="60.6" customHeight="1">
      <c r="A59" s="323" t="s">
        <v>1627</v>
      </c>
      <c r="B59" s="323" t="s">
        <v>1509</v>
      </c>
      <c r="C59" s="323" t="s">
        <v>10</v>
      </c>
      <c r="D59" s="7" t="s">
        <v>1362</v>
      </c>
      <c r="E59" s="7" t="s">
        <v>1628</v>
      </c>
      <c r="F59" s="9">
        <v>46219</v>
      </c>
      <c r="G59" s="9">
        <v>46253</v>
      </c>
      <c r="H59" s="7" t="s">
        <v>84</v>
      </c>
      <c r="I59" s="212" t="s">
        <v>645</v>
      </c>
      <c r="J59" s="227" t="s">
        <v>603</v>
      </c>
      <c r="K59" s="13">
        <v>5250</v>
      </c>
      <c r="L59" s="13">
        <v>1700</v>
      </c>
      <c r="M59" s="13">
        <v>0</v>
      </c>
      <c r="N59" s="13">
        <f t="shared" si="0"/>
        <v>6950</v>
      </c>
      <c r="O59" s="282" t="s">
        <v>1514</v>
      </c>
      <c r="Q59" s="25"/>
    </row>
    <row r="60" spans="1:17" ht="60.6" customHeight="1">
      <c r="A60" s="323" t="s">
        <v>1629</v>
      </c>
      <c r="B60" s="323" t="s">
        <v>1509</v>
      </c>
      <c r="C60" s="323" t="s">
        <v>10</v>
      </c>
      <c r="D60" s="7" t="s">
        <v>1362</v>
      </c>
      <c r="E60" s="7" t="s">
        <v>1630</v>
      </c>
      <c r="F60" s="9">
        <v>46219</v>
      </c>
      <c r="G60" s="9">
        <v>46253</v>
      </c>
      <c r="H60" s="7" t="s">
        <v>84</v>
      </c>
      <c r="I60" s="212" t="s">
        <v>645</v>
      </c>
      <c r="J60" s="227" t="s">
        <v>603</v>
      </c>
      <c r="K60" s="13">
        <v>5250</v>
      </c>
      <c r="L60" s="13">
        <v>1700</v>
      </c>
      <c r="M60" s="13">
        <v>0</v>
      </c>
      <c r="N60" s="13">
        <f t="shared" si="0"/>
        <v>6950</v>
      </c>
      <c r="O60" s="282" t="s">
        <v>1514</v>
      </c>
      <c r="Q60" s="25"/>
    </row>
    <row r="61" spans="1:17" ht="27.6">
      <c r="A61" s="201" t="s">
        <v>1631</v>
      </c>
      <c r="B61" s="201" t="s">
        <v>1509</v>
      </c>
      <c r="C61" s="201" t="s">
        <v>10</v>
      </c>
      <c r="D61" s="32" t="s">
        <v>1362</v>
      </c>
      <c r="E61" s="32" t="s">
        <v>1632</v>
      </c>
      <c r="F61" s="34">
        <v>46234</v>
      </c>
      <c r="G61" s="34">
        <v>46261</v>
      </c>
      <c r="H61" s="32" t="s">
        <v>84</v>
      </c>
      <c r="I61" s="77" t="s">
        <v>240</v>
      </c>
      <c r="J61" s="112" t="s">
        <v>105</v>
      </c>
      <c r="K61" s="113">
        <v>5050</v>
      </c>
      <c r="L61" s="113">
        <v>0</v>
      </c>
      <c r="M61" s="113">
        <v>0</v>
      </c>
      <c r="N61" s="113">
        <f>SUM(K61:M61)</f>
        <v>5050</v>
      </c>
      <c r="O61" s="113">
        <f>N61</f>
        <v>5050</v>
      </c>
      <c r="Q61" s="25"/>
    </row>
    <row r="62" spans="1:17" ht="27.6">
      <c r="A62" s="201" t="s">
        <v>1633</v>
      </c>
      <c r="B62" s="201" t="s">
        <v>1509</v>
      </c>
      <c r="C62" s="201" t="s">
        <v>10</v>
      </c>
      <c r="D62" s="32" t="s">
        <v>1362</v>
      </c>
      <c r="E62" s="32" t="s">
        <v>1634</v>
      </c>
      <c r="F62" s="34">
        <v>46235</v>
      </c>
      <c r="G62" s="34">
        <v>46271</v>
      </c>
      <c r="H62" s="32" t="s">
        <v>100</v>
      </c>
      <c r="I62" s="77" t="s">
        <v>85</v>
      </c>
      <c r="J62" s="112" t="s">
        <v>105</v>
      </c>
      <c r="K62" s="113">
        <v>5600</v>
      </c>
      <c r="L62" s="113">
        <v>0</v>
      </c>
      <c r="M62" s="113">
        <v>0</v>
      </c>
      <c r="N62" s="113">
        <f>SUM(K62:M62)</f>
        <v>5600</v>
      </c>
      <c r="O62" s="113">
        <f>N62</f>
        <v>5600</v>
      </c>
      <c r="Q62" s="25"/>
    </row>
    <row r="63" spans="1:17" ht="27.6">
      <c r="A63" s="201" t="s">
        <v>1635</v>
      </c>
      <c r="B63" s="201" t="s">
        <v>1509</v>
      </c>
      <c r="C63" s="201" t="s">
        <v>10</v>
      </c>
      <c r="D63" s="32" t="s">
        <v>1362</v>
      </c>
      <c r="E63" s="32" t="s">
        <v>1636</v>
      </c>
      <c r="F63" s="34">
        <v>46250</v>
      </c>
      <c r="G63" s="34">
        <v>46287</v>
      </c>
      <c r="H63" s="32" t="s">
        <v>482</v>
      </c>
      <c r="I63" s="77" t="s">
        <v>85</v>
      </c>
      <c r="J63" s="112" t="s">
        <v>105</v>
      </c>
      <c r="K63" s="113">
        <v>7400</v>
      </c>
      <c r="L63" s="113">
        <v>0</v>
      </c>
      <c r="M63" s="113">
        <v>0</v>
      </c>
      <c r="N63" s="113">
        <f>SUM(K63:M63)</f>
        <v>7400</v>
      </c>
      <c r="O63" s="113">
        <f>N63</f>
        <v>7400</v>
      </c>
      <c r="Q63" s="25"/>
    </row>
    <row r="64" spans="1:17" ht="27.6">
      <c r="A64" s="201" t="s">
        <v>1637</v>
      </c>
      <c r="B64" s="201" t="s">
        <v>1509</v>
      </c>
      <c r="C64" s="201" t="s">
        <v>10</v>
      </c>
      <c r="D64" s="32" t="s">
        <v>1362</v>
      </c>
      <c r="E64" s="32" t="s">
        <v>1638</v>
      </c>
      <c r="F64" s="34">
        <v>46257</v>
      </c>
      <c r="G64" s="34">
        <v>46288</v>
      </c>
      <c r="H64" s="32" t="s">
        <v>89</v>
      </c>
      <c r="I64" s="77" t="s">
        <v>85</v>
      </c>
      <c r="J64" s="112" t="s">
        <v>105</v>
      </c>
      <c r="K64" s="113">
        <v>8000</v>
      </c>
      <c r="L64" s="113">
        <v>0</v>
      </c>
      <c r="M64" s="113">
        <v>0</v>
      </c>
      <c r="N64" s="113">
        <f t="shared" ref="N64:N66" si="1">SUM(K64:M64)</f>
        <v>8000</v>
      </c>
      <c r="O64" s="113">
        <f t="shared" ref="O64:O66" si="2">N64</f>
        <v>8000</v>
      </c>
      <c r="Q64" s="25"/>
    </row>
    <row r="65" spans="1:17" ht="27.6">
      <c r="A65" s="201" t="s">
        <v>1639</v>
      </c>
      <c r="B65" s="201" t="s">
        <v>1509</v>
      </c>
      <c r="C65" s="201" t="s">
        <v>10</v>
      </c>
      <c r="D65" s="32" t="s">
        <v>1362</v>
      </c>
      <c r="E65" s="32" t="s">
        <v>1640</v>
      </c>
      <c r="F65" s="34">
        <v>46254</v>
      </c>
      <c r="G65" s="34">
        <v>46291</v>
      </c>
      <c r="H65" s="32" t="s">
        <v>84</v>
      </c>
      <c r="I65" s="77" t="s">
        <v>1641</v>
      </c>
      <c r="J65" s="112" t="s">
        <v>105</v>
      </c>
      <c r="K65" s="113">
        <v>7400</v>
      </c>
      <c r="L65" s="113">
        <v>0</v>
      </c>
      <c r="M65" s="113">
        <v>0</v>
      </c>
      <c r="N65" s="113">
        <f t="shared" si="1"/>
        <v>7400</v>
      </c>
      <c r="O65" s="113">
        <f t="shared" si="2"/>
        <v>7400</v>
      </c>
      <c r="Q65" s="25"/>
    </row>
    <row r="66" spans="1:17" ht="27.6">
      <c r="A66" s="201" t="s">
        <v>1642</v>
      </c>
      <c r="B66" s="201" t="s">
        <v>1509</v>
      </c>
      <c r="C66" s="201" t="s">
        <v>10</v>
      </c>
      <c r="D66" s="32" t="s">
        <v>1362</v>
      </c>
      <c r="E66" s="32" t="s">
        <v>1643</v>
      </c>
      <c r="F66" s="34">
        <v>46267</v>
      </c>
      <c r="G66" s="34">
        <v>46301</v>
      </c>
      <c r="H66" s="32" t="s">
        <v>89</v>
      </c>
      <c r="I66" s="77" t="s">
        <v>621</v>
      </c>
      <c r="J66" s="112" t="s">
        <v>105</v>
      </c>
      <c r="K66" s="113">
        <v>8750</v>
      </c>
      <c r="L66" s="113">
        <v>0</v>
      </c>
      <c r="M66" s="113">
        <v>0</v>
      </c>
      <c r="N66" s="113">
        <f t="shared" si="1"/>
        <v>8750</v>
      </c>
      <c r="O66" s="113">
        <f t="shared" si="2"/>
        <v>8750</v>
      </c>
      <c r="Q66" s="25"/>
    </row>
  </sheetData>
  <sortState xmlns:xlrd2="http://schemas.microsoft.com/office/spreadsheetml/2017/richdata2" ref="A4:O33">
    <sortCondition ref="G4:G33"/>
  </sortState>
  <conditionalFormatting sqref="A1:A2">
    <cfRule type="duplicateValues" dxfId="2639" priority="16"/>
    <cfRule type="duplicateValues" dxfId="2638" priority="18"/>
  </conditionalFormatting>
  <conditionalFormatting sqref="A1:A1048576">
    <cfRule type="duplicateValues" dxfId="2637" priority="3"/>
    <cfRule type="duplicateValues" dxfId="2636" priority="4"/>
    <cfRule type="duplicateValues" dxfId="2635" priority="5"/>
    <cfRule type="duplicateValues" dxfId="2634" priority="19"/>
  </conditionalFormatting>
  <conditionalFormatting sqref="A3:A5">
    <cfRule type="duplicateValues" dxfId="2633" priority="14"/>
  </conditionalFormatting>
  <conditionalFormatting sqref="A6:A7">
    <cfRule type="duplicateValues" dxfId="2632" priority="15"/>
  </conditionalFormatting>
  <conditionalFormatting sqref="A8">
    <cfRule type="duplicateValues" dxfId="2631" priority="13"/>
  </conditionalFormatting>
  <conditionalFormatting sqref="A9">
    <cfRule type="duplicateValues" dxfId="2630" priority="12"/>
  </conditionalFormatting>
  <conditionalFormatting sqref="A10:A19">
    <cfRule type="duplicateValues" dxfId="2629" priority="11"/>
  </conditionalFormatting>
  <conditionalFormatting sqref="A20">
    <cfRule type="duplicateValues" dxfId="2628" priority="8"/>
  </conditionalFormatting>
  <conditionalFormatting sqref="A21">
    <cfRule type="duplicateValues" dxfId="2627" priority="6"/>
  </conditionalFormatting>
  <conditionalFormatting sqref="A22:A66">
    <cfRule type="duplicateValues" dxfId="2626" priority="1"/>
  </conditionalFormatting>
  <conditionalFormatting sqref="E1:E19">
    <cfRule type="duplicateValues" dxfId="2625" priority="17"/>
  </conditionalFormatting>
  <conditionalFormatting sqref="E1:E1048576">
    <cfRule type="duplicateValues" dxfId="2624" priority="10"/>
  </conditionalFormatting>
  <conditionalFormatting sqref="E20">
    <cfRule type="duplicateValues" dxfId="2623" priority="9"/>
  </conditionalFormatting>
  <conditionalFormatting sqref="E21">
    <cfRule type="duplicateValues" dxfId="2622" priority="7"/>
  </conditionalFormatting>
  <conditionalFormatting sqref="E22:E66">
    <cfRule type="duplicateValues" dxfId="2621" priority="2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C21BB-2879-4D65-A536-C622BCC807D2}">
  <sheetPr codeName="Hoja17">
    <tabColor theme="9" tint="-0.249977111117893"/>
  </sheetPr>
  <dimension ref="A2:S260"/>
  <sheetViews>
    <sheetView topLeftCell="A121" zoomScale="95" zoomScaleNormal="95" workbookViewId="0">
      <selection activeCell="N128" sqref="N128"/>
    </sheetView>
  </sheetViews>
  <sheetFormatPr defaultColWidth="11.42578125" defaultRowHeight="14.45"/>
  <cols>
    <col min="1" max="1" width="23.7109375" bestFit="1" customWidth="1"/>
    <col min="2" max="2" width="18.7109375" customWidth="1"/>
    <col min="3" max="3" width="18.5703125" bestFit="1" customWidth="1"/>
    <col min="4" max="4" width="25.85546875" style="51" bestFit="1" customWidth="1"/>
    <col min="5" max="5" width="7.85546875" bestFit="1" customWidth="1"/>
    <col min="6" max="6" width="17" customWidth="1"/>
    <col min="7" max="7" width="13.7109375" customWidth="1"/>
    <col min="10" max="10" width="17.140625" customWidth="1"/>
    <col min="11" max="11" width="17.7109375" customWidth="1"/>
    <col min="12" max="12" width="23" bestFit="1" customWidth="1"/>
    <col min="13" max="13" width="23" customWidth="1"/>
    <col min="15" max="15" width="21.140625" customWidth="1"/>
    <col min="16" max="16" width="12" bestFit="1" customWidth="1"/>
    <col min="17" max="17" width="13.5703125" customWidth="1"/>
    <col min="18" max="18" width="16" customWidth="1"/>
    <col min="21" max="21" width="15" customWidth="1"/>
  </cols>
  <sheetData>
    <row r="2" spans="1:15" ht="27.6">
      <c r="A2" s="121" t="s">
        <v>45</v>
      </c>
      <c r="B2" s="121" t="s">
        <v>491</v>
      </c>
      <c r="C2" s="121" t="s">
        <v>47</v>
      </c>
      <c r="D2" s="121" t="s">
        <v>1644</v>
      </c>
      <c r="E2" s="121" t="s">
        <v>48</v>
      </c>
      <c r="F2" s="121" t="s">
        <v>49</v>
      </c>
      <c r="G2" s="121" t="s">
        <v>50</v>
      </c>
      <c r="H2" s="121" t="s">
        <v>51</v>
      </c>
      <c r="I2" s="121" t="s">
        <v>52</v>
      </c>
      <c r="J2" s="122" t="s">
        <v>53</v>
      </c>
      <c r="K2" s="121" t="s">
        <v>54</v>
      </c>
      <c r="L2" s="129" t="s">
        <v>58</v>
      </c>
      <c r="M2" s="129" t="s">
        <v>556</v>
      </c>
      <c r="N2" s="129" t="s">
        <v>676</v>
      </c>
      <c r="O2" s="129" t="s">
        <v>55</v>
      </c>
    </row>
    <row r="3" spans="1:15" ht="27.6">
      <c r="A3" s="114" t="s">
        <v>1645</v>
      </c>
      <c r="B3" s="32" t="s">
        <v>1646</v>
      </c>
      <c r="C3" s="33" t="s">
        <v>5</v>
      </c>
      <c r="D3" s="273" t="s">
        <v>1647</v>
      </c>
      <c r="E3" s="33" t="s">
        <v>559</v>
      </c>
      <c r="F3" s="32" t="s">
        <v>1648</v>
      </c>
      <c r="G3" s="34">
        <v>46056</v>
      </c>
      <c r="H3" s="34">
        <v>46091</v>
      </c>
      <c r="I3" s="32" t="s">
        <v>100</v>
      </c>
      <c r="J3" s="35" t="s">
        <v>85</v>
      </c>
      <c r="K3" s="68" t="s">
        <v>67</v>
      </c>
      <c r="L3" s="81">
        <v>3700</v>
      </c>
      <c r="M3" s="81">
        <v>0</v>
      </c>
      <c r="N3" s="81">
        <v>0</v>
      </c>
      <c r="O3" s="81">
        <f>SUM(L3:N3)</f>
        <v>3700</v>
      </c>
    </row>
    <row r="4" spans="1:15">
      <c r="A4" s="114" t="s">
        <v>1649</v>
      </c>
      <c r="B4" s="106" t="s">
        <v>1646</v>
      </c>
      <c r="C4" s="33" t="s">
        <v>5</v>
      </c>
      <c r="D4" s="273" t="s">
        <v>1650</v>
      </c>
      <c r="E4" s="32" t="s">
        <v>559</v>
      </c>
      <c r="F4" s="32" t="s">
        <v>1651</v>
      </c>
      <c r="G4" s="34">
        <v>46106</v>
      </c>
      <c r="H4" s="34">
        <v>46140</v>
      </c>
      <c r="I4" s="32" t="s">
        <v>79</v>
      </c>
      <c r="J4" s="77" t="s">
        <v>621</v>
      </c>
      <c r="K4" s="68" t="s">
        <v>122</v>
      </c>
      <c r="L4" s="81">
        <v>3900</v>
      </c>
      <c r="M4" s="81">
        <v>0</v>
      </c>
      <c r="N4" s="261">
        <v>0</v>
      </c>
      <c r="O4" s="224">
        <f t="shared" ref="O4:O14" si="0">IFERROR(SUM(L4+N4),"")</f>
        <v>3900</v>
      </c>
    </row>
    <row r="5" spans="1:15">
      <c r="A5" s="114" t="s">
        <v>1652</v>
      </c>
      <c r="B5" s="106" t="s">
        <v>1646</v>
      </c>
      <c r="C5" s="33" t="s">
        <v>5</v>
      </c>
      <c r="D5" s="273" t="s">
        <v>1650</v>
      </c>
      <c r="E5" s="32" t="s">
        <v>559</v>
      </c>
      <c r="F5" s="32" t="s">
        <v>1653</v>
      </c>
      <c r="G5" s="34">
        <v>46124</v>
      </c>
      <c r="H5" s="34">
        <v>46153</v>
      </c>
      <c r="I5" s="32" t="s">
        <v>1175</v>
      </c>
      <c r="J5" s="77" t="s">
        <v>85</v>
      </c>
      <c r="K5" s="68" t="s">
        <v>122</v>
      </c>
      <c r="L5" s="81">
        <v>4530</v>
      </c>
      <c r="M5" s="81">
        <v>0</v>
      </c>
      <c r="N5" s="261">
        <v>0</v>
      </c>
      <c r="O5" s="224">
        <f t="shared" si="0"/>
        <v>4530</v>
      </c>
    </row>
    <row r="6" spans="1:15">
      <c r="A6" s="114" t="s">
        <v>1654</v>
      </c>
      <c r="B6" s="106" t="s">
        <v>1646</v>
      </c>
      <c r="C6" s="33" t="s">
        <v>5</v>
      </c>
      <c r="D6" s="273" t="s">
        <v>1650</v>
      </c>
      <c r="E6" s="32" t="s">
        <v>559</v>
      </c>
      <c r="F6" s="32" t="s">
        <v>1655</v>
      </c>
      <c r="G6" s="34">
        <v>46147</v>
      </c>
      <c r="H6" s="34">
        <v>46164</v>
      </c>
      <c r="I6" s="32" t="s">
        <v>100</v>
      </c>
      <c r="J6" s="77" t="s">
        <v>85</v>
      </c>
      <c r="K6" s="68" t="s">
        <v>1364</v>
      </c>
      <c r="L6" s="81">
        <v>3630</v>
      </c>
      <c r="M6" s="81">
        <v>0</v>
      </c>
      <c r="N6" s="261">
        <v>0</v>
      </c>
      <c r="O6" s="224">
        <f t="shared" si="0"/>
        <v>3630</v>
      </c>
    </row>
    <row r="7" spans="1:15">
      <c r="A7" s="114" t="s">
        <v>1656</v>
      </c>
      <c r="B7" s="106" t="s">
        <v>1646</v>
      </c>
      <c r="C7" s="33" t="s">
        <v>5</v>
      </c>
      <c r="D7" s="273" t="s">
        <v>1650</v>
      </c>
      <c r="E7" s="32" t="s">
        <v>559</v>
      </c>
      <c r="F7" s="32" t="s">
        <v>1657</v>
      </c>
      <c r="G7" s="34">
        <v>46147</v>
      </c>
      <c r="H7" s="34">
        <v>46164</v>
      </c>
      <c r="I7" s="32" t="s">
        <v>507</v>
      </c>
      <c r="J7" s="77" t="s">
        <v>621</v>
      </c>
      <c r="K7" s="68" t="s">
        <v>1364</v>
      </c>
      <c r="L7" s="81">
        <v>3280</v>
      </c>
      <c r="M7" s="81">
        <v>0</v>
      </c>
      <c r="N7" s="261">
        <v>0</v>
      </c>
      <c r="O7" s="224">
        <f t="shared" si="0"/>
        <v>3280</v>
      </c>
    </row>
    <row r="8" spans="1:15">
      <c r="A8" s="114" t="s">
        <v>1658</v>
      </c>
      <c r="B8" s="106" t="s">
        <v>1646</v>
      </c>
      <c r="C8" s="33" t="s">
        <v>5</v>
      </c>
      <c r="D8" s="273" t="s">
        <v>1650</v>
      </c>
      <c r="E8" s="32" t="s">
        <v>559</v>
      </c>
      <c r="F8" s="32" t="s">
        <v>1659</v>
      </c>
      <c r="G8" s="34">
        <v>46143</v>
      </c>
      <c r="H8" s="34">
        <v>46171</v>
      </c>
      <c r="I8" s="32" t="s">
        <v>100</v>
      </c>
      <c r="J8" s="77" t="s">
        <v>621</v>
      </c>
      <c r="K8" s="68" t="s">
        <v>122</v>
      </c>
      <c r="L8" s="81">
        <v>4460</v>
      </c>
      <c r="M8" s="81">
        <v>0</v>
      </c>
      <c r="N8" s="261">
        <v>0</v>
      </c>
      <c r="O8" s="224">
        <f t="shared" si="0"/>
        <v>4460</v>
      </c>
    </row>
    <row r="9" spans="1:15">
      <c r="A9" s="114" t="s">
        <v>1660</v>
      </c>
      <c r="B9" s="106" t="s">
        <v>1646</v>
      </c>
      <c r="C9" s="33" t="s">
        <v>5</v>
      </c>
      <c r="D9" s="273" t="s">
        <v>1650</v>
      </c>
      <c r="E9" s="32" t="s">
        <v>559</v>
      </c>
      <c r="F9" s="32" t="s">
        <v>1661</v>
      </c>
      <c r="G9" s="34">
        <v>46139</v>
      </c>
      <c r="H9" s="34">
        <v>46172</v>
      </c>
      <c r="I9" s="32" t="s">
        <v>100</v>
      </c>
      <c r="J9" s="77" t="s">
        <v>85</v>
      </c>
      <c r="K9" s="68" t="s">
        <v>122</v>
      </c>
      <c r="L9" s="81">
        <v>4550</v>
      </c>
      <c r="M9" s="81">
        <v>0</v>
      </c>
      <c r="N9" s="261">
        <v>0</v>
      </c>
      <c r="O9" s="224">
        <f t="shared" si="0"/>
        <v>4550</v>
      </c>
    </row>
    <row r="10" spans="1:15">
      <c r="A10" s="114" t="s">
        <v>1662</v>
      </c>
      <c r="B10" s="106" t="s">
        <v>1646</v>
      </c>
      <c r="C10" s="33" t="s">
        <v>5</v>
      </c>
      <c r="D10" s="273" t="s">
        <v>1650</v>
      </c>
      <c r="E10" s="32" t="s">
        <v>559</v>
      </c>
      <c r="F10" s="32" t="s">
        <v>1663</v>
      </c>
      <c r="G10" s="34">
        <v>46139</v>
      </c>
      <c r="H10" s="34">
        <v>46172</v>
      </c>
      <c r="I10" s="32" t="s">
        <v>100</v>
      </c>
      <c r="J10" s="77" t="s">
        <v>85</v>
      </c>
      <c r="K10" s="68" t="s">
        <v>122</v>
      </c>
      <c r="L10" s="81">
        <v>4550</v>
      </c>
      <c r="M10" s="81">
        <v>0</v>
      </c>
      <c r="N10" s="261">
        <v>0</v>
      </c>
      <c r="O10" s="224">
        <f t="shared" si="0"/>
        <v>4550</v>
      </c>
    </row>
    <row r="11" spans="1:15">
      <c r="A11" s="114" t="s">
        <v>1664</v>
      </c>
      <c r="B11" s="106" t="s">
        <v>1646</v>
      </c>
      <c r="C11" s="33" t="s">
        <v>5</v>
      </c>
      <c r="D11" s="273" t="s">
        <v>1650</v>
      </c>
      <c r="E11" s="32" t="s">
        <v>559</v>
      </c>
      <c r="F11" s="32" t="s">
        <v>1665</v>
      </c>
      <c r="G11" s="34">
        <v>46161</v>
      </c>
      <c r="H11" s="34">
        <v>46176</v>
      </c>
      <c r="I11" s="32" t="s">
        <v>100</v>
      </c>
      <c r="J11" s="77" t="s">
        <v>85</v>
      </c>
      <c r="K11" s="68" t="s">
        <v>1364</v>
      </c>
      <c r="L11" s="81">
        <v>3950</v>
      </c>
      <c r="M11" s="81">
        <v>0</v>
      </c>
      <c r="N11" s="261">
        <v>0</v>
      </c>
      <c r="O11" s="224">
        <f t="shared" si="0"/>
        <v>3950</v>
      </c>
    </row>
    <row r="12" spans="1:15">
      <c r="A12" s="114" t="s">
        <v>1666</v>
      </c>
      <c r="B12" s="106" t="s">
        <v>1646</v>
      </c>
      <c r="C12" s="33" t="s">
        <v>5</v>
      </c>
      <c r="D12" s="273"/>
      <c r="E12" s="32" t="s">
        <v>559</v>
      </c>
      <c r="F12" s="32" t="s">
        <v>1667</v>
      </c>
      <c r="G12" s="34">
        <v>46168</v>
      </c>
      <c r="H12" s="34">
        <v>46181</v>
      </c>
      <c r="I12" s="32" t="s">
        <v>100</v>
      </c>
      <c r="J12" s="77" t="s">
        <v>85</v>
      </c>
      <c r="K12" s="68" t="s">
        <v>1364</v>
      </c>
      <c r="L12" s="81">
        <v>3950</v>
      </c>
      <c r="M12" s="81">
        <v>0</v>
      </c>
      <c r="N12" s="261">
        <v>0</v>
      </c>
      <c r="O12" s="224">
        <f t="shared" si="0"/>
        <v>3950</v>
      </c>
    </row>
    <row r="13" spans="1:15">
      <c r="A13" s="114" t="s">
        <v>1668</v>
      </c>
      <c r="B13" s="106" t="s">
        <v>1646</v>
      </c>
      <c r="C13" s="33" t="s">
        <v>5</v>
      </c>
      <c r="D13" s="273" t="s">
        <v>1650</v>
      </c>
      <c r="E13" s="32" t="s">
        <v>559</v>
      </c>
      <c r="F13" s="32" t="s">
        <v>1669</v>
      </c>
      <c r="G13" s="34">
        <v>46164</v>
      </c>
      <c r="H13" s="34">
        <v>46182</v>
      </c>
      <c r="I13" s="32" t="s">
        <v>100</v>
      </c>
      <c r="J13" s="77" t="s">
        <v>621</v>
      </c>
      <c r="K13" s="68" t="s">
        <v>1364</v>
      </c>
      <c r="L13" s="81">
        <v>3900</v>
      </c>
      <c r="M13" s="81">
        <v>0</v>
      </c>
      <c r="N13" s="261">
        <v>0</v>
      </c>
      <c r="O13" s="224">
        <f t="shared" si="0"/>
        <v>3900</v>
      </c>
    </row>
    <row r="14" spans="1:15">
      <c r="A14" s="114" t="s">
        <v>1670</v>
      </c>
      <c r="B14" s="106" t="s">
        <v>1646</v>
      </c>
      <c r="C14" s="33" t="s">
        <v>5</v>
      </c>
      <c r="D14" s="273" t="s">
        <v>1650</v>
      </c>
      <c r="E14" s="32" t="s">
        <v>559</v>
      </c>
      <c r="F14" s="32" t="s">
        <v>1671</v>
      </c>
      <c r="G14" s="34">
        <v>46178</v>
      </c>
      <c r="H14" s="34">
        <v>46196</v>
      </c>
      <c r="I14" s="32" t="s">
        <v>100</v>
      </c>
      <c r="J14" s="77" t="s">
        <v>621</v>
      </c>
      <c r="K14" s="68" t="s">
        <v>1364</v>
      </c>
      <c r="L14" s="81">
        <v>5650</v>
      </c>
      <c r="M14" s="81">
        <v>0</v>
      </c>
      <c r="N14" s="261">
        <v>0</v>
      </c>
      <c r="O14" s="224">
        <f t="shared" si="0"/>
        <v>5650</v>
      </c>
    </row>
    <row r="15" spans="1:15" ht="27.6">
      <c r="A15" s="114" t="s">
        <v>1672</v>
      </c>
      <c r="B15" s="32" t="s">
        <v>1673</v>
      </c>
      <c r="C15" s="33" t="s">
        <v>5</v>
      </c>
      <c r="D15" s="273" t="s">
        <v>1647</v>
      </c>
      <c r="E15" s="33" t="s">
        <v>559</v>
      </c>
      <c r="F15" s="32" t="s">
        <v>1674</v>
      </c>
      <c r="G15" s="34">
        <v>46068</v>
      </c>
      <c r="H15" s="34">
        <v>46105</v>
      </c>
      <c r="I15" s="32" t="s">
        <v>79</v>
      </c>
      <c r="J15" s="35" t="s">
        <v>66</v>
      </c>
      <c r="K15" s="68" t="s">
        <v>122</v>
      </c>
      <c r="L15" s="81">
        <v>3400</v>
      </c>
      <c r="M15" s="81">
        <v>0</v>
      </c>
      <c r="N15" s="81">
        <v>0</v>
      </c>
      <c r="O15" s="219" t="s">
        <v>1675</v>
      </c>
    </row>
    <row r="16" spans="1:15">
      <c r="A16" s="114" t="s">
        <v>1676</v>
      </c>
      <c r="B16" s="106" t="s">
        <v>1673</v>
      </c>
      <c r="C16" s="33" t="s">
        <v>5</v>
      </c>
      <c r="D16" s="273" t="s">
        <v>1650</v>
      </c>
      <c r="E16" s="32" t="s">
        <v>559</v>
      </c>
      <c r="F16" s="32" t="s">
        <v>1677</v>
      </c>
      <c r="G16" s="34">
        <v>46162</v>
      </c>
      <c r="H16" s="34">
        <v>46192</v>
      </c>
      <c r="I16" s="32" t="s">
        <v>100</v>
      </c>
      <c r="J16" s="77" t="s">
        <v>66</v>
      </c>
      <c r="K16" s="68" t="s">
        <v>122</v>
      </c>
      <c r="L16" s="81">
        <v>5150</v>
      </c>
      <c r="M16" s="81">
        <v>0</v>
      </c>
      <c r="N16" s="261">
        <v>0</v>
      </c>
      <c r="O16" s="224">
        <f>IFERROR(SUM(L16+N16),"")</f>
        <v>5150</v>
      </c>
    </row>
    <row r="17" spans="1:15" ht="27.6">
      <c r="A17" s="114" t="s">
        <v>1678</v>
      </c>
      <c r="B17" s="32" t="s">
        <v>1679</v>
      </c>
      <c r="C17" s="33" t="s">
        <v>5</v>
      </c>
      <c r="D17" s="273" t="s">
        <v>1647</v>
      </c>
      <c r="E17" s="33" t="s">
        <v>559</v>
      </c>
      <c r="F17" s="32" t="s">
        <v>1680</v>
      </c>
      <c r="G17" s="34">
        <v>46053</v>
      </c>
      <c r="H17" s="34">
        <v>46084</v>
      </c>
      <c r="I17" s="32" t="s">
        <v>79</v>
      </c>
      <c r="J17" s="35" t="s">
        <v>240</v>
      </c>
      <c r="K17" s="68" t="s">
        <v>67</v>
      </c>
      <c r="L17" s="81">
        <v>3400</v>
      </c>
      <c r="M17" s="81">
        <v>0</v>
      </c>
      <c r="N17" s="81">
        <v>0</v>
      </c>
      <c r="O17" s="144">
        <f>SUM(L17:N17)</f>
        <v>3400</v>
      </c>
    </row>
    <row r="18" spans="1:15" ht="27.6">
      <c r="A18" s="114" t="s">
        <v>1681</v>
      </c>
      <c r="B18" s="32" t="s">
        <v>1682</v>
      </c>
      <c r="C18" s="33" t="s">
        <v>1683</v>
      </c>
      <c r="D18" s="273" t="s">
        <v>1647</v>
      </c>
      <c r="E18" s="33" t="s">
        <v>559</v>
      </c>
      <c r="F18" s="32" t="s">
        <v>1684</v>
      </c>
      <c r="G18" s="34">
        <v>46066</v>
      </c>
      <c r="H18" s="34">
        <v>46098</v>
      </c>
      <c r="I18" s="32" t="s">
        <v>100</v>
      </c>
      <c r="J18" s="35" t="s">
        <v>621</v>
      </c>
      <c r="K18" s="68" t="s">
        <v>122</v>
      </c>
      <c r="L18" s="81">
        <v>3650</v>
      </c>
      <c r="M18" s="81">
        <v>0</v>
      </c>
      <c r="N18" s="81">
        <v>0</v>
      </c>
      <c r="O18" s="144">
        <f>SUM(L18:N18)</f>
        <v>3650</v>
      </c>
    </row>
    <row r="19" spans="1:15" ht="27.6">
      <c r="A19" s="114" t="s">
        <v>1685</v>
      </c>
      <c r="B19" s="32" t="s">
        <v>1686</v>
      </c>
      <c r="C19" s="33" t="s">
        <v>5</v>
      </c>
      <c r="D19" s="273" t="s">
        <v>1687</v>
      </c>
      <c r="E19" s="33" t="s">
        <v>559</v>
      </c>
      <c r="F19" s="32" t="s">
        <v>1688</v>
      </c>
      <c r="G19" s="34">
        <v>46039</v>
      </c>
      <c r="H19" s="34">
        <v>46057</v>
      </c>
      <c r="I19" s="32" t="s">
        <v>507</v>
      </c>
      <c r="J19" s="35" t="s">
        <v>85</v>
      </c>
      <c r="K19" s="68" t="s">
        <v>105</v>
      </c>
      <c r="L19" s="81">
        <v>1350</v>
      </c>
      <c r="M19" s="81">
        <v>0</v>
      </c>
      <c r="N19" s="81">
        <v>100</v>
      </c>
      <c r="O19" s="144">
        <f>SUM(L19:N19)</f>
        <v>1450</v>
      </c>
    </row>
    <row r="20" spans="1:15" ht="27.6">
      <c r="A20" s="114" t="s">
        <v>1689</v>
      </c>
      <c r="B20" s="32" t="s">
        <v>1686</v>
      </c>
      <c r="C20" s="33" t="s">
        <v>5</v>
      </c>
      <c r="D20" s="273" t="s">
        <v>1687</v>
      </c>
      <c r="E20" s="33" t="s">
        <v>559</v>
      </c>
      <c r="F20" s="32" t="s">
        <v>1690</v>
      </c>
      <c r="G20" s="34">
        <v>46042</v>
      </c>
      <c r="H20" s="34">
        <v>46068</v>
      </c>
      <c r="I20" s="32" t="s">
        <v>100</v>
      </c>
      <c r="J20" s="35" t="s">
        <v>66</v>
      </c>
      <c r="K20" s="68" t="s">
        <v>105</v>
      </c>
      <c r="L20" s="81">
        <v>1300</v>
      </c>
      <c r="M20" s="81">
        <v>0</v>
      </c>
      <c r="N20" s="81">
        <v>100</v>
      </c>
      <c r="O20" s="144">
        <f>SUM(L20:N20)</f>
        <v>1400</v>
      </c>
    </row>
    <row r="21" spans="1:15" ht="27.6">
      <c r="A21" s="114" t="s">
        <v>1691</v>
      </c>
      <c r="B21" s="32" t="s">
        <v>1686</v>
      </c>
      <c r="C21" s="33" t="s">
        <v>1683</v>
      </c>
      <c r="D21" s="273" t="s">
        <v>1687</v>
      </c>
      <c r="E21" s="33" t="s">
        <v>559</v>
      </c>
      <c r="F21" s="32" t="s">
        <v>1692</v>
      </c>
      <c r="G21" s="34">
        <v>46054</v>
      </c>
      <c r="H21" s="34">
        <v>46077</v>
      </c>
      <c r="I21" s="32" t="s">
        <v>482</v>
      </c>
      <c r="J21" s="35" t="s">
        <v>66</v>
      </c>
      <c r="K21" s="68" t="s">
        <v>105</v>
      </c>
      <c r="L21" s="81">
        <v>1450</v>
      </c>
      <c r="M21" s="81">
        <v>0</v>
      </c>
      <c r="N21" s="81">
        <v>100</v>
      </c>
      <c r="O21" s="144">
        <f>SUM(L21:N21)</f>
        <v>1550</v>
      </c>
    </row>
    <row r="22" spans="1:15" ht="27.6">
      <c r="A22" s="114" t="s">
        <v>1693</v>
      </c>
      <c r="B22" s="106" t="s">
        <v>1686</v>
      </c>
      <c r="C22" s="33" t="s">
        <v>5</v>
      </c>
      <c r="D22" s="273" t="s">
        <v>1687</v>
      </c>
      <c r="E22" s="32" t="s">
        <v>559</v>
      </c>
      <c r="F22" s="32" t="s">
        <v>1694</v>
      </c>
      <c r="G22" s="34">
        <v>46117</v>
      </c>
      <c r="H22" s="34">
        <v>46140</v>
      </c>
      <c r="I22" s="32" t="s">
        <v>149</v>
      </c>
      <c r="J22" s="77" t="s">
        <v>66</v>
      </c>
      <c r="K22" s="68" t="s">
        <v>105</v>
      </c>
      <c r="L22" s="81">
        <v>3250</v>
      </c>
      <c r="M22" s="81">
        <v>0</v>
      </c>
      <c r="N22" s="261">
        <v>100</v>
      </c>
      <c r="O22" s="224">
        <f>IFERROR(SUM(L22+N22),"")</f>
        <v>3350</v>
      </c>
    </row>
    <row r="23" spans="1:15">
      <c r="A23" s="114" t="s">
        <v>1695</v>
      </c>
      <c r="B23" s="106" t="s">
        <v>1696</v>
      </c>
      <c r="C23" s="33" t="s">
        <v>5</v>
      </c>
      <c r="D23" s="273" t="s">
        <v>1650</v>
      </c>
      <c r="E23" s="32" t="s">
        <v>559</v>
      </c>
      <c r="F23" s="32" t="s">
        <v>1697</v>
      </c>
      <c r="G23" s="34">
        <v>46139</v>
      </c>
      <c r="H23" s="34">
        <v>46164</v>
      </c>
      <c r="I23" s="32" t="s">
        <v>1175</v>
      </c>
      <c r="J23" s="77" t="s">
        <v>645</v>
      </c>
      <c r="K23" s="68" t="s">
        <v>122</v>
      </c>
      <c r="L23" s="81">
        <v>4400</v>
      </c>
      <c r="M23" s="81">
        <v>0</v>
      </c>
      <c r="N23" s="261">
        <v>100</v>
      </c>
      <c r="O23" s="224">
        <f>IFERROR(SUM(L23+N23),"")</f>
        <v>4500</v>
      </c>
    </row>
    <row r="24" spans="1:15" ht="27.6">
      <c r="A24" s="114" t="s">
        <v>1698</v>
      </c>
      <c r="B24" s="32" t="s">
        <v>1699</v>
      </c>
      <c r="C24" s="33" t="s">
        <v>1683</v>
      </c>
      <c r="D24" s="273" t="s">
        <v>1687</v>
      </c>
      <c r="E24" s="33" t="s">
        <v>559</v>
      </c>
      <c r="F24" s="32" t="s">
        <v>1700</v>
      </c>
      <c r="G24" s="34">
        <v>45668</v>
      </c>
      <c r="H24" s="34">
        <v>46058</v>
      </c>
      <c r="I24" s="32" t="s">
        <v>507</v>
      </c>
      <c r="J24" s="35" t="s">
        <v>85</v>
      </c>
      <c r="K24" s="68" t="s">
        <v>105</v>
      </c>
      <c r="L24" s="81">
        <v>1550</v>
      </c>
      <c r="M24" s="81">
        <v>0</v>
      </c>
      <c r="N24" s="81">
        <v>100</v>
      </c>
      <c r="O24" s="144">
        <f>SUM(L24:N24)</f>
        <v>1650</v>
      </c>
    </row>
    <row r="25" spans="1:15" ht="27.6">
      <c r="A25" s="114" t="s">
        <v>1701</v>
      </c>
      <c r="B25" s="32" t="s">
        <v>1699</v>
      </c>
      <c r="C25" s="33" t="s">
        <v>1683</v>
      </c>
      <c r="D25" s="273" t="s">
        <v>1687</v>
      </c>
      <c r="E25" s="33" t="s">
        <v>559</v>
      </c>
      <c r="F25" s="32" t="s">
        <v>1702</v>
      </c>
      <c r="G25" s="34">
        <v>45668</v>
      </c>
      <c r="H25" s="34">
        <v>46058</v>
      </c>
      <c r="I25" s="32" t="s">
        <v>507</v>
      </c>
      <c r="J25" s="35" t="s">
        <v>85</v>
      </c>
      <c r="K25" s="68" t="s">
        <v>105</v>
      </c>
      <c r="L25" s="81">
        <v>1550</v>
      </c>
      <c r="M25" s="81">
        <v>0</v>
      </c>
      <c r="N25" s="81">
        <v>100</v>
      </c>
      <c r="O25" s="144">
        <f>SUM(L25:N25)</f>
        <v>1650</v>
      </c>
    </row>
    <row r="26" spans="1:15" ht="27.6">
      <c r="A26" s="114" t="s">
        <v>1703</v>
      </c>
      <c r="B26" s="32" t="s">
        <v>1699</v>
      </c>
      <c r="C26" s="33" t="s">
        <v>1683</v>
      </c>
      <c r="D26" s="273" t="s">
        <v>1687</v>
      </c>
      <c r="E26" s="33" t="s">
        <v>559</v>
      </c>
      <c r="F26" s="32" t="s">
        <v>1704</v>
      </c>
      <c r="G26" s="34">
        <v>46045</v>
      </c>
      <c r="H26" s="34">
        <v>46073</v>
      </c>
      <c r="I26" s="32" t="s">
        <v>89</v>
      </c>
      <c r="J26" s="35" t="s">
        <v>66</v>
      </c>
      <c r="K26" s="68" t="s">
        <v>105</v>
      </c>
      <c r="L26" s="81">
        <v>1250</v>
      </c>
      <c r="M26" s="81">
        <v>0</v>
      </c>
      <c r="N26" s="81">
        <v>100</v>
      </c>
      <c r="O26" s="144">
        <f>SUM(L26:N26)</f>
        <v>1350</v>
      </c>
    </row>
    <row r="27" spans="1:15" ht="27.6">
      <c r="A27" s="114" t="s">
        <v>1705</v>
      </c>
      <c r="B27" s="32" t="s">
        <v>1699</v>
      </c>
      <c r="C27" s="33" t="s">
        <v>1683</v>
      </c>
      <c r="D27" s="273" t="s">
        <v>1687</v>
      </c>
      <c r="E27" s="33" t="s">
        <v>559</v>
      </c>
      <c r="F27" s="32" t="s">
        <v>1706</v>
      </c>
      <c r="G27" s="34">
        <v>46061</v>
      </c>
      <c r="H27" s="34">
        <v>46087</v>
      </c>
      <c r="I27" s="32" t="s">
        <v>89</v>
      </c>
      <c r="J27" s="35" t="s">
        <v>316</v>
      </c>
      <c r="K27" s="68" t="s">
        <v>105</v>
      </c>
      <c r="L27" s="81">
        <v>1350</v>
      </c>
      <c r="M27" s="81">
        <v>0</v>
      </c>
      <c r="N27" s="81">
        <v>100</v>
      </c>
      <c r="O27" s="144">
        <f>SUM(L27:N27)</f>
        <v>1450</v>
      </c>
    </row>
    <row r="28" spans="1:15" ht="27.6">
      <c r="A28" s="114" t="s">
        <v>1707</v>
      </c>
      <c r="B28" s="32" t="s">
        <v>1699</v>
      </c>
      <c r="C28" s="33" t="s">
        <v>1683</v>
      </c>
      <c r="D28" s="273" t="s">
        <v>1687</v>
      </c>
      <c r="E28" s="33" t="s">
        <v>559</v>
      </c>
      <c r="F28" s="32" t="s">
        <v>1708</v>
      </c>
      <c r="G28" s="34">
        <v>46068</v>
      </c>
      <c r="H28" s="34">
        <v>46096</v>
      </c>
      <c r="I28" s="32" t="s">
        <v>89</v>
      </c>
      <c r="J28" s="35" t="s">
        <v>66</v>
      </c>
      <c r="K28" s="68" t="s">
        <v>105</v>
      </c>
      <c r="L28" s="81">
        <v>2600</v>
      </c>
      <c r="M28" s="81">
        <v>0</v>
      </c>
      <c r="N28" s="81">
        <v>100</v>
      </c>
      <c r="O28" s="144">
        <f>SUM(L28:N28)</f>
        <v>2700</v>
      </c>
    </row>
    <row r="29" spans="1:15" ht="27.6">
      <c r="A29" s="114" t="s">
        <v>1709</v>
      </c>
      <c r="B29" s="106" t="s">
        <v>1710</v>
      </c>
      <c r="C29" s="33" t="s">
        <v>1683</v>
      </c>
      <c r="D29" s="273" t="s">
        <v>1687</v>
      </c>
      <c r="E29" s="32" t="s">
        <v>559</v>
      </c>
      <c r="F29" s="32" t="s">
        <v>1711</v>
      </c>
      <c r="G29" s="34">
        <v>46110</v>
      </c>
      <c r="H29" s="34">
        <v>46133</v>
      </c>
      <c r="I29" s="32" t="s">
        <v>482</v>
      </c>
      <c r="J29" s="77" t="s">
        <v>66</v>
      </c>
      <c r="K29" s="68" t="s">
        <v>105</v>
      </c>
      <c r="L29" s="81">
        <v>3150</v>
      </c>
      <c r="M29" s="81">
        <v>0</v>
      </c>
      <c r="N29" s="261">
        <v>100</v>
      </c>
      <c r="O29" s="224">
        <f>IFERROR(SUM(L29+N29),"")</f>
        <v>3250</v>
      </c>
    </row>
    <row r="30" spans="1:15" ht="27.6">
      <c r="A30" s="114" t="s">
        <v>1712</v>
      </c>
      <c r="B30" s="106" t="s">
        <v>1710</v>
      </c>
      <c r="C30" s="33" t="s">
        <v>5</v>
      </c>
      <c r="D30" s="273" t="s">
        <v>1687</v>
      </c>
      <c r="E30" s="32" t="s">
        <v>559</v>
      </c>
      <c r="F30" s="32" t="s">
        <v>1713</v>
      </c>
      <c r="G30" s="34">
        <v>46135</v>
      </c>
      <c r="H30" s="34">
        <v>46155</v>
      </c>
      <c r="I30" s="32" t="s">
        <v>507</v>
      </c>
      <c r="J30" s="77" t="s">
        <v>66</v>
      </c>
      <c r="K30" s="68" t="s">
        <v>105</v>
      </c>
      <c r="L30" s="81">
        <v>3050</v>
      </c>
      <c r="M30" s="81">
        <v>0</v>
      </c>
      <c r="N30" s="261">
        <v>100</v>
      </c>
      <c r="O30" s="224">
        <f>IFERROR(SUM(L30+N30),"")</f>
        <v>3150</v>
      </c>
    </row>
    <row r="31" spans="1:15">
      <c r="A31" s="114" t="s">
        <v>1714</v>
      </c>
      <c r="B31" s="106" t="s">
        <v>1710</v>
      </c>
      <c r="C31" s="33" t="s">
        <v>1683</v>
      </c>
      <c r="D31" s="273" t="s">
        <v>1650</v>
      </c>
      <c r="E31" s="32" t="s">
        <v>559</v>
      </c>
      <c r="F31" s="32" t="s">
        <v>1715</v>
      </c>
      <c r="G31" s="34">
        <v>46177</v>
      </c>
      <c r="H31" s="34">
        <v>46198</v>
      </c>
      <c r="I31" s="32" t="s">
        <v>507</v>
      </c>
      <c r="J31" s="77" t="s">
        <v>66</v>
      </c>
      <c r="K31" s="68" t="s">
        <v>105</v>
      </c>
      <c r="L31" s="81">
        <v>6100</v>
      </c>
      <c r="M31" s="81">
        <v>0</v>
      </c>
      <c r="N31" s="261">
        <v>100</v>
      </c>
      <c r="O31" s="298">
        <f>IFERROR(SUM(L31+N31),"")</f>
        <v>6200</v>
      </c>
    </row>
    <row r="32" spans="1:15">
      <c r="A32" s="114" t="s">
        <v>1716</v>
      </c>
      <c r="B32" s="32" t="s">
        <v>1717</v>
      </c>
      <c r="C32" s="33" t="s">
        <v>1683</v>
      </c>
      <c r="D32" s="273" t="s">
        <v>1718</v>
      </c>
      <c r="E32" s="32" t="s">
        <v>559</v>
      </c>
      <c r="F32" s="32" t="s">
        <v>1719</v>
      </c>
      <c r="G32" s="34">
        <v>46026</v>
      </c>
      <c r="H32" s="34">
        <v>45684</v>
      </c>
      <c r="I32" s="32" t="s">
        <v>482</v>
      </c>
      <c r="J32" s="35" t="s">
        <v>66</v>
      </c>
      <c r="K32" s="68" t="s">
        <v>105</v>
      </c>
      <c r="L32" s="81">
        <v>1550</v>
      </c>
      <c r="M32" s="141">
        <v>0</v>
      </c>
      <c r="N32" s="141">
        <v>100</v>
      </c>
      <c r="O32" s="283">
        <f>SUM(L32:N32)</f>
        <v>1650</v>
      </c>
    </row>
    <row r="33" spans="1:15">
      <c r="A33" s="114" t="s">
        <v>1720</v>
      </c>
      <c r="B33" s="32" t="s">
        <v>1717</v>
      </c>
      <c r="C33" s="33" t="s">
        <v>1683</v>
      </c>
      <c r="D33" s="273" t="s">
        <v>1718</v>
      </c>
      <c r="E33" s="32" t="s">
        <v>559</v>
      </c>
      <c r="F33" s="32" t="s">
        <v>1721</v>
      </c>
      <c r="G33" s="34">
        <v>46026</v>
      </c>
      <c r="H33" s="34">
        <v>45684</v>
      </c>
      <c r="I33" s="32" t="s">
        <v>482</v>
      </c>
      <c r="J33" s="35" t="s">
        <v>66</v>
      </c>
      <c r="K33" s="68" t="s">
        <v>105</v>
      </c>
      <c r="L33" s="81">
        <v>1550</v>
      </c>
      <c r="M33" s="81">
        <v>0</v>
      </c>
      <c r="N33" s="81">
        <v>100</v>
      </c>
      <c r="O33" s="297">
        <f>SUM(L33:N33)</f>
        <v>1650</v>
      </c>
    </row>
    <row r="34" spans="1:15">
      <c r="A34" s="114" t="s">
        <v>1722</v>
      </c>
      <c r="B34" s="32" t="s">
        <v>1717</v>
      </c>
      <c r="C34" s="33" t="s">
        <v>1683</v>
      </c>
      <c r="D34" s="273" t="s">
        <v>1718</v>
      </c>
      <c r="E34" s="32" t="s">
        <v>559</v>
      </c>
      <c r="F34" s="32" t="s">
        <v>1723</v>
      </c>
      <c r="G34" s="34">
        <v>46026</v>
      </c>
      <c r="H34" s="34">
        <v>45684</v>
      </c>
      <c r="I34" s="32" t="s">
        <v>482</v>
      </c>
      <c r="J34" s="35" t="s">
        <v>66</v>
      </c>
      <c r="K34" s="68" t="s">
        <v>105</v>
      </c>
      <c r="L34" s="81">
        <v>1550</v>
      </c>
      <c r="M34" s="81">
        <v>0</v>
      </c>
      <c r="N34" s="81">
        <v>100</v>
      </c>
      <c r="O34" s="144">
        <f>SUM(L34:N34)</f>
        <v>1650</v>
      </c>
    </row>
    <row r="35" spans="1:15">
      <c r="A35" s="114" t="s">
        <v>1724</v>
      </c>
      <c r="B35" s="32" t="s">
        <v>1717</v>
      </c>
      <c r="C35" s="33" t="s">
        <v>1683</v>
      </c>
      <c r="D35" s="273" t="s">
        <v>1718</v>
      </c>
      <c r="E35" s="32" t="s">
        <v>559</v>
      </c>
      <c r="F35" s="32" t="s">
        <v>1725</v>
      </c>
      <c r="G35" s="34">
        <v>46026</v>
      </c>
      <c r="H35" s="34">
        <v>45684</v>
      </c>
      <c r="I35" s="32" t="s">
        <v>482</v>
      </c>
      <c r="J35" s="35" t="s">
        <v>66</v>
      </c>
      <c r="K35" s="68" t="s">
        <v>105</v>
      </c>
      <c r="L35" s="81">
        <v>1550</v>
      </c>
      <c r="M35" s="81">
        <v>0</v>
      </c>
      <c r="N35" s="81">
        <v>100</v>
      </c>
      <c r="O35" s="144">
        <f>SUM(L35:N35)</f>
        <v>1650</v>
      </c>
    </row>
    <row r="36" spans="1:15">
      <c r="A36" s="114" t="s">
        <v>1726</v>
      </c>
      <c r="B36" s="32" t="s">
        <v>1717</v>
      </c>
      <c r="C36" s="33" t="s">
        <v>1683</v>
      </c>
      <c r="D36" s="273" t="s">
        <v>1718</v>
      </c>
      <c r="E36" s="32" t="s">
        <v>559</v>
      </c>
      <c r="F36" s="32" t="s">
        <v>1727</v>
      </c>
      <c r="G36" s="34">
        <v>46033</v>
      </c>
      <c r="H36" s="34">
        <v>45691</v>
      </c>
      <c r="I36" s="32" t="s">
        <v>149</v>
      </c>
      <c r="J36" s="35" t="s">
        <v>66</v>
      </c>
      <c r="K36" s="68" t="s">
        <v>105</v>
      </c>
      <c r="L36" s="81">
        <v>1500</v>
      </c>
      <c r="M36" s="141">
        <v>0</v>
      </c>
      <c r="N36" s="141">
        <v>100</v>
      </c>
      <c r="O36" s="144">
        <f>SUM(L36:N36)</f>
        <v>1600</v>
      </c>
    </row>
    <row r="37" spans="1:15" ht="15" customHeight="1">
      <c r="A37" s="114" t="s">
        <v>1728</v>
      </c>
      <c r="B37" s="32" t="s">
        <v>1717</v>
      </c>
      <c r="C37" s="33" t="s">
        <v>1683</v>
      </c>
      <c r="D37" s="273" t="s">
        <v>1718</v>
      </c>
      <c r="E37" s="33" t="s">
        <v>559</v>
      </c>
      <c r="F37" s="32" t="s">
        <v>1729</v>
      </c>
      <c r="G37" s="34">
        <v>46033</v>
      </c>
      <c r="H37" s="34">
        <v>46056</v>
      </c>
      <c r="I37" s="32" t="s">
        <v>149</v>
      </c>
      <c r="J37" s="35" t="s">
        <v>66</v>
      </c>
      <c r="K37" s="68" t="s">
        <v>105</v>
      </c>
      <c r="L37" s="81">
        <v>1500</v>
      </c>
      <c r="M37" s="141">
        <v>0</v>
      </c>
      <c r="N37" s="141">
        <v>100</v>
      </c>
      <c r="O37" s="144">
        <f>SUM(L37:N37)</f>
        <v>1600</v>
      </c>
    </row>
    <row r="38" spans="1:15">
      <c r="A38" s="114" t="s">
        <v>1730</v>
      </c>
      <c r="B38" s="32" t="s">
        <v>1717</v>
      </c>
      <c r="C38" s="33" t="s">
        <v>1683</v>
      </c>
      <c r="D38" s="273" t="s">
        <v>1718</v>
      </c>
      <c r="E38" s="33" t="s">
        <v>559</v>
      </c>
      <c r="F38" s="32" t="s">
        <v>1731</v>
      </c>
      <c r="G38" s="34">
        <v>46042</v>
      </c>
      <c r="H38" s="34">
        <v>46063</v>
      </c>
      <c r="I38" s="32" t="s">
        <v>100</v>
      </c>
      <c r="J38" s="35" t="s">
        <v>66</v>
      </c>
      <c r="K38" s="68" t="s">
        <v>105</v>
      </c>
      <c r="L38" s="81">
        <v>1300</v>
      </c>
      <c r="M38" s="141">
        <v>0</v>
      </c>
      <c r="N38" s="141">
        <v>100</v>
      </c>
      <c r="O38" s="144">
        <f>SUM(L38:N38)</f>
        <v>1400</v>
      </c>
    </row>
    <row r="39" spans="1:15">
      <c r="A39" s="114" t="s">
        <v>1732</v>
      </c>
      <c r="B39" s="32" t="s">
        <v>1717</v>
      </c>
      <c r="C39" s="33" t="s">
        <v>1683</v>
      </c>
      <c r="D39" s="273" t="s">
        <v>1718</v>
      </c>
      <c r="E39" s="33" t="s">
        <v>559</v>
      </c>
      <c r="F39" s="32" t="s">
        <v>1733</v>
      </c>
      <c r="G39" s="34">
        <v>46042</v>
      </c>
      <c r="H39" s="34">
        <v>46063</v>
      </c>
      <c r="I39" s="32" t="s">
        <v>100</v>
      </c>
      <c r="J39" s="35" t="s">
        <v>66</v>
      </c>
      <c r="K39" s="68" t="s">
        <v>105</v>
      </c>
      <c r="L39" s="81">
        <v>1300</v>
      </c>
      <c r="M39" s="141">
        <v>0</v>
      </c>
      <c r="N39" s="141">
        <v>100</v>
      </c>
      <c r="O39" s="144">
        <f>SUM(L39:N39)</f>
        <v>1400</v>
      </c>
    </row>
    <row r="40" spans="1:15">
      <c r="A40" s="114" t="s">
        <v>1734</v>
      </c>
      <c r="B40" s="32" t="s">
        <v>1717</v>
      </c>
      <c r="C40" s="33" t="s">
        <v>1683</v>
      </c>
      <c r="D40" s="273" t="s">
        <v>1718</v>
      </c>
      <c r="E40" s="33" t="s">
        <v>559</v>
      </c>
      <c r="F40" s="32" t="s">
        <v>1735</v>
      </c>
      <c r="G40" s="34">
        <v>46042</v>
      </c>
      <c r="H40" s="34">
        <v>46063</v>
      </c>
      <c r="I40" s="32" t="s">
        <v>100</v>
      </c>
      <c r="J40" s="35" t="s">
        <v>66</v>
      </c>
      <c r="K40" s="68" t="s">
        <v>105</v>
      </c>
      <c r="L40" s="81">
        <v>1300</v>
      </c>
      <c r="M40" s="141">
        <v>0</v>
      </c>
      <c r="N40" s="141">
        <v>100</v>
      </c>
      <c r="O40" s="144">
        <f>SUM(L40:N40)</f>
        <v>1400</v>
      </c>
    </row>
    <row r="41" spans="1:15">
      <c r="A41" s="114" t="s">
        <v>1736</v>
      </c>
      <c r="B41" s="32" t="s">
        <v>1717</v>
      </c>
      <c r="C41" s="33" t="s">
        <v>1683</v>
      </c>
      <c r="D41" s="273" t="s">
        <v>1718</v>
      </c>
      <c r="E41" s="33" t="s">
        <v>559</v>
      </c>
      <c r="F41" s="32" t="s">
        <v>1737</v>
      </c>
      <c r="G41" s="34">
        <v>46042</v>
      </c>
      <c r="H41" s="34">
        <v>46063</v>
      </c>
      <c r="I41" s="32" t="s">
        <v>100</v>
      </c>
      <c r="J41" s="35" t="s">
        <v>66</v>
      </c>
      <c r="K41" s="68" t="s">
        <v>105</v>
      </c>
      <c r="L41" s="81">
        <v>1300</v>
      </c>
      <c r="M41" s="141">
        <v>0</v>
      </c>
      <c r="N41" s="141">
        <v>100</v>
      </c>
      <c r="O41" s="144">
        <f>SUM(L41:N41)</f>
        <v>1400</v>
      </c>
    </row>
    <row r="42" spans="1:15">
      <c r="A42" s="114" t="s">
        <v>1738</v>
      </c>
      <c r="B42" s="32" t="s">
        <v>1717</v>
      </c>
      <c r="C42" s="33" t="s">
        <v>1683</v>
      </c>
      <c r="D42" s="273" t="s">
        <v>1718</v>
      </c>
      <c r="E42" s="33" t="s">
        <v>559</v>
      </c>
      <c r="F42" s="32" t="s">
        <v>1739</v>
      </c>
      <c r="G42" s="34">
        <v>46042</v>
      </c>
      <c r="H42" s="34">
        <v>46063</v>
      </c>
      <c r="I42" s="32" t="s">
        <v>100</v>
      </c>
      <c r="J42" s="35" t="s">
        <v>66</v>
      </c>
      <c r="K42" s="68" t="s">
        <v>105</v>
      </c>
      <c r="L42" s="81">
        <v>1300</v>
      </c>
      <c r="M42" s="141">
        <v>0</v>
      </c>
      <c r="N42" s="141">
        <v>100</v>
      </c>
      <c r="O42" s="144">
        <f>SUM(L42:N42)</f>
        <v>1400</v>
      </c>
    </row>
    <row r="43" spans="1:15">
      <c r="A43" s="114" t="s">
        <v>1740</v>
      </c>
      <c r="B43" s="32" t="s">
        <v>1717</v>
      </c>
      <c r="C43" s="33" t="s">
        <v>1683</v>
      </c>
      <c r="D43" s="273" t="s">
        <v>1718</v>
      </c>
      <c r="E43" s="33" t="s">
        <v>559</v>
      </c>
      <c r="F43" s="32" t="s">
        <v>1741</v>
      </c>
      <c r="G43" s="34">
        <v>46054</v>
      </c>
      <c r="H43" s="34">
        <v>46077</v>
      </c>
      <c r="I43" s="32" t="s">
        <v>149</v>
      </c>
      <c r="J43" s="35" t="s">
        <v>66</v>
      </c>
      <c r="K43" s="68" t="s">
        <v>105</v>
      </c>
      <c r="L43" s="81">
        <v>1400</v>
      </c>
      <c r="M43" s="141">
        <v>0</v>
      </c>
      <c r="N43" s="141">
        <v>100</v>
      </c>
      <c r="O43" s="144">
        <f>SUM(L43:N43)</f>
        <v>1500</v>
      </c>
    </row>
    <row r="44" spans="1:15">
      <c r="A44" s="114" t="s">
        <v>1742</v>
      </c>
      <c r="B44" s="32" t="s">
        <v>1717</v>
      </c>
      <c r="C44" s="33" t="s">
        <v>1683</v>
      </c>
      <c r="D44" s="273" t="s">
        <v>1718</v>
      </c>
      <c r="E44" s="33" t="s">
        <v>559</v>
      </c>
      <c r="F44" s="32" t="s">
        <v>1743</v>
      </c>
      <c r="G44" s="34">
        <v>46054</v>
      </c>
      <c r="H44" s="34">
        <v>46079</v>
      </c>
      <c r="I44" s="32" t="s">
        <v>149</v>
      </c>
      <c r="J44" s="35" t="s">
        <v>66</v>
      </c>
      <c r="K44" s="68" t="s">
        <v>105</v>
      </c>
      <c r="L44" s="81">
        <v>1400</v>
      </c>
      <c r="M44" s="141">
        <v>0</v>
      </c>
      <c r="N44" s="141">
        <v>100</v>
      </c>
      <c r="O44" s="144">
        <f>SUM(L44:N44)</f>
        <v>1500</v>
      </c>
    </row>
    <row r="45" spans="1:15" ht="27.6">
      <c r="A45" s="114" t="s">
        <v>1744</v>
      </c>
      <c r="B45" s="32" t="s">
        <v>1717</v>
      </c>
      <c r="C45" s="33" t="s">
        <v>1683</v>
      </c>
      <c r="D45" s="273" t="s">
        <v>1647</v>
      </c>
      <c r="E45" s="33" t="s">
        <v>559</v>
      </c>
      <c r="F45" s="32" t="s">
        <v>1745</v>
      </c>
      <c r="G45" s="34">
        <v>46050</v>
      </c>
      <c r="H45" s="34">
        <v>46083</v>
      </c>
      <c r="I45" s="32" t="s">
        <v>65</v>
      </c>
      <c r="J45" s="35" t="s">
        <v>66</v>
      </c>
      <c r="K45" s="68" t="s">
        <v>67</v>
      </c>
      <c r="L45" s="81">
        <v>3750</v>
      </c>
      <c r="M45" s="141">
        <v>0</v>
      </c>
      <c r="N45" s="141">
        <v>100</v>
      </c>
      <c r="O45" s="144">
        <f>SUM(L45:N45)</f>
        <v>3850</v>
      </c>
    </row>
    <row r="46" spans="1:15" ht="15">
      <c r="A46" s="114" t="s">
        <v>1746</v>
      </c>
      <c r="B46" s="32" t="s">
        <v>1717</v>
      </c>
      <c r="C46" s="33" t="s">
        <v>1683</v>
      </c>
      <c r="D46" s="273" t="s">
        <v>1718</v>
      </c>
      <c r="E46" s="33" t="s">
        <v>559</v>
      </c>
      <c r="F46" s="32" t="s">
        <v>1747</v>
      </c>
      <c r="G46" s="34">
        <v>46061</v>
      </c>
      <c r="H46" s="34">
        <v>46105</v>
      </c>
      <c r="I46" s="32" t="s">
        <v>482</v>
      </c>
      <c r="J46" s="35" t="s">
        <v>66</v>
      </c>
      <c r="K46" s="68" t="s">
        <v>105</v>
      </c>
      <c r="L46" s="81">
        <v>1700</v>
      </c>
      <c r="M46" s="141">
        <v>0</v>
      </c>
      <c r="N46" s="141">
        <v>100</v>
      </c>
      <c r="O46" s="144">
        <f>SUM(L46:N46)</f>
        <v>1800</v>
      </c>
    </row>
    <row r="47" spans="1:15" ht="15">
      <c r="A47" s="114" t="s">
        <v>1748</v>
      </c>
      <c r="B47" s="32" t="s">
        <v>1717</v>
      </c>
      <c r="C47" s="33" t="s">
        <v>1683</v>
      </c>
      <c r="D47" s="273" t="s">
        <v>1718</v>
      </c>
      <c r="E47" s="33" t="s">
        <v>559</v>
      </c>
      <c r="F47" s="32" t="s">
        <v>1749</v>
      </c>
      <c r="G47" s="34">
        <v>46061</v>
      </c>
      <c r="H47" s="34">
        <v>46091</v>
      </c>
      <c r="I47" s="32" t="s">
        <v>149</v>
      </c>
      <c r="J47" s="35" t="s">
        <v>66</v>
      </c>
      <c r="K47" s="68" t="s">
        <v>105</v>
      </c>
      <c r="L47" s="81">
        <v>1400</v>
      </c>
      <c r="M47" s="141">
        <v>0</v>
      </c>
      <c r="N47" s="141">
        <v>100</v>
      </c>
      <c r="O47" s="144">
        <f>SUM(L47:N47)</f>
        <v>1500</v>
      </c>
    </row>
    <row r="48" spans="1:15" ht="15" customHeight="1">
      <c r="A48" s="114" t="s">
        <v>1750</v>
      </c>
      <c r="B48" s="32" t="s">
        <v>1717</v>
      </c>
      <c r="C48" s="33" t="s">
        <v>1683</v>
      </c>
      <c r="D48" s="273" t="s">
        <v>1718</v>
      </c>
      <c r="E48" s="33" t="s">
        <v>559</v>
      </c>
      <c r="F48" s="32" t="s">
        <v>1751</v>
      </c>
      <c r="G48" s="34">
        <v>46061</v>
      </c>
      <c r="H48" s="34">
        <v>46091</v>
      </c>
      <c r="I48" s="32" t="s">
        <v>149</v>
      </c>
      <c r="J48" s="35" t="s">
        <v>66</v>
      </c>
      <c r="K48" s="68" t="s">
        <v>105</v>
      </c>
      <c r="L48" s="81">
        <v>1400</v>
      </c>
      <c r="M48" s="141">
        <v>0</v>
      </c>
      <c r="N48" s="141">
        <v>100</v>
      </c>
      <c r="O48" s="144">
        <f>SUM(L48:N48)</f>
        <v>1500</v>
      </c>
    </row>
    <row r="49" spans="1:15" ht="15">
      <c r="A49" s="114" t="s">
        <v>1752</v>
      </c>
      <c r="B49" s="32" t="s">
        <v>1717</v>
      </c>
      <c r="C49" s="33" t="s">
        <v>1683</v>
      </c>
      <c r="D49" s="273" t="s">
        <v>1718</v>
      </c>
      <c r="E49" s="33" t="s">
        <v>559</v>
      </c>
      <c r="F49" s="32" t="s">
        <v>1753</v>
      </c>
      <c r="G49" s="34">
        <v>46061</v>
      </c>
      <c r="H49" s="34">
        <v>46091</v>
      </c>
      <c r="I49" s="32" t="s">
        <v>149</v>
      </c>
      <c r="J49" s="35" t="s">
        <v>66</v>
      </c>
      <c r="K49" s="68" t="s">
        <v>105</v>
      </c>
      <c r="L49" s="81">
        <v>1400</v>
      </c>
      <c r="M49" s="141">
        <v>0</v>
      </c>
      <c r="N49" s="141">
        <v>100</v>
      </c>
      <c r="O49" s="144">
        <f>SUM(L49:N49)</f>
        <v>1500</v>
      </c>
    </row>
    <row r="50" spans="1:15" ht="15" customHeight="1">
      <c r="A50" s="114" t="s">
        <v>1754</v>
      </c>
      <c r="B50" s="32" t="s">
        <v>1717</v>
      </c>
      <c r="C50" s="33" t="s">
        <v>1683</v>
      </c>
      <c r="D50" s="273" t="s">
        <v>1718</v>
      </c>
      <c r="E50" s="33" t="s">
        <v>559</v>
      </c>
      <c r="F50" s="32" t="s">
        <v>1755</v>
      </c>
      <c r="G50" s="34">
        <v>46109</v>
      </c>
      <c r="H50" s="34">
        <v>46148</v>
      </c>
      <c r="I50" s="32" t="s">
        <v>507</v>
      </c>
      <c r="J50" s="35" t="s">
        <v>1756</v>
      </c>
      <c r="K50" s="68" t="s">
        <v>105</v>
      </c>
      <c r="L50" s="81">
        <v>3200</v>
      </c>
      <c r="M50" s="141">
        <v>0</v>
      </c>
      <c r="N50" s="141">
        <v>100</v>
      </c>
      <c r="O50" s="144">
        <f>SUM(L50:N50)</f>
        <v>3300</v>
      </c>
    </row>
    <row r="51" spans="1:15" ht="15" customHeight="1">
      <c r="A51" s="114" t="s">
        <v>1757</v>
      </c>
      <c r="B51" s="106" t="s">
        <v>1717</v>
      </c>
      <c r="C51" s="33" t="s">
        <v>1683</v>
      </c>
      <c r="D51" s="273" t="s">
        <v>1718</v>
      </c>
      <c r="E51" s="32" t="s">
        <v>559</v>
      </c>
      <c r="F51" s="32" t="s">
        <v>1758</v>
      </c>
      <c r="G51" s="34">
        <v>46117</v>
      </c>
      <c r="H51" s="34">
        <v>46140</v>
      </c>
      <c r="I51" s="32" t="s">
        <v>149</v>
      </c>
      <c r="J51" s="77" t="s">
        <v>66</v>
      </c>
      <c r="K51" s="68" t="s">
        <v>105</v>
      </c>
      <c r="L51" s="81">
        <v>3250</v>
      </c>
      <c r="M51" s="141">
        <v>0</v>
      </c>
      <c r="N51" s="223">
        <v>100</v>
      </c>
      <c r="O51" s="224">
        <f>IFERROR(SUM(L51+N51),"")</f>
        <v>3350</v>
      </c>
    </row>
    <row r="52" spans="1:15" ht="15" customHeight="1">
      <c r="A52" s="114" t="s">
        <v>1759</v>
      </c>
      <c r="B52" s="106" t="s">
        <v>1717</v>
      </c>
      <c r="C52" s="33" t="s">
        <v>1683</v>
      </c>
      <c r="D52" s="273" t="s">
        <v>1718</v>
      </c>
      <c r="E52" s="32" t="s">
        <v>559</v>
      </c>
      <c r="F52" s="32" t="s">
        <v>1760</v>
      </c>
      <c r="G52" s="34">
        <v>46125</v>
      </c>
      <c r="H52" s="34">
        <v>46145</v>
      </c>
      <c r="I52" s="32" t="s">
        <v>89</v>
      </c>
      <c r="J52" s="77" t="s">
        <v>66</v>
      </c>
      <c r="K52" s="68" t="s">
        <v>105</v>
      </c>
      <c r="L52" s="81">
        <v>3350</v>
      </c>
      <c r="M52" s="141">
        <v>0</v>
      </c>
      <c r="N52" s="223">
        <v>100</v>
      </c>
      <c r="O52" s="224">
        <f>IFERROR(SUM(L52+N52),"")</f>
        <v>3450</v>
      </c>
    </row>
    <row r="53" spans="1:15" ht="15" customHeight="1">
      <c r="A53" s="114" t="s">
        <v>1761</v>
      </c>
      <c r="B53" s="106" t="s">
        <v>1717</v>
      </c>
      <c r="C53" s="33" t="s">
        <v>1683</v>
      </c>
      <c r="D53" s="273" t="s">
        <v>1718</v>
      </c>
      <c r="E53" s="32" t="s">
        <v>559</v>
      </c>
      <c r="F53" s="32" t="s">
        <v>1762</v>
      </c>
      <c r="G53" s="34">
        <v>46125</v>
      </c>
      <c r="H53" s="34">
        <v>46155</v>
      </c>
      <c r="I53" s="32" t="s">
        <v>89</v>
      </c>
      <c r="J53" s="77" t="s">
        <v>66</v>
      </c>
      <c r="K53" s="68" t="s">
        <v>105</v>
      </c>
      <c r="L53" s="81">
        <v>3350</v>
      </c>
      <c r="M53" s="141">
        <v>0</v>
      </c>
      <c r="N53" s="223">
        <v>100</v>
      </c>
      <c r="O53" s="224">
        <f>IFERROR(SUM(L53+N53),"")</f>
        <v>3450</v>
      </c>
    </row>
    <row r="54" spans="1:15" ht="15" customHeight="1">
      <c r="A54" s="114" t="s">
        <v>1763</v>
      </c>
      <c r="B54" s="106" t="s">
        <v>1717</v>
      </c>
      <c r="C54" s="33" t="s">
        <v>1683</v>
      </c>
      <c r="D54" s="273" t="s">
        <v>1718</v>
      </c>
      <c r="E54" s="32" t="s">
        <v>559</v>
      </c>
      <c r="F54" s="32" t="s">
        <v>1764</v>
      </c>
      <c r="G54" s="34">
        <v>46126</v>
      </c>
      <c r="H54" s="34">
        <v>46152</v>
      </c>
      <c r="I54" s="32" t="s">
        <v>100</v>
      </c>
      <c r="J54" s="77" t="s">
        <v>66</v>
      </c>
      <c r="K54" s="68" t="s">
        <v>105</v>
      </c>
      <c r="L54" s="81">
        <v>3150</v>
      </c>
      <c r="M54" s="141">
        <v>0</v>
      </c>
      <c r="N54" s="223">
        <v>100</v>
      </c>
      <c r="O54" s="224">
        <f>IFERROR(SUM(L54+N54),"")</f>
        <v>3250</v>
      </c>
    </row>
    <row r="55" spans="1:15">
      <c r="A55" s="114" t="s">
        <v>1765</v>
      </c>
      <c r="B55" s="106" t="s">
        <v>1717</v>
      </c>
      <c r="C55" s="33" t="s">
        <v>1683</v>
      </c>
      <c r="D55" s="273" t="s">
        <v>1718</v>
      </c>
      <c r="E55" s="32" t="s">
        <v>559</v>
      </c>
      <c r="F55" s="32" t="s">
        <v>1766</v>
      </c>
      <c r="G55" s="34">
        <v>46133</v>
      </c>
      <c r="H55" s="34">
        <v>46159</v>
      </c>
      <c r="I55" s="32" t="s">
        <v>100</v>
      </c>
      <c r="J55" s="77" t="s">
        <v>66</v>
      </c>
      <c r="K55" s="68" t="s">
        <v>105</v>
      </c>
      <c r="L55" s="81">
        <v>2900</v>
      </c>
      <c r="M55" s="141">
        <v>0</v>
      </c>
      <c r="N55" s="223">
        <v>100</v>
      </c>
      <c r="O55" s="224">
        <f>IFERROR(SUM(L55+N55),"")</f>
        <v>3000</v>
      </c>
    </row>
    <row r="56" spans="1:15">
      <c r="A56" s="114" t="s">
        <v>1767</v>
      </c>
      <c r="B56" s="106" t="s">
        <v>1717</v>
      </c>
      <c r="C56" s="33" t="s">
        <v>1683</v>
      </c>
      <c r="D56" s="273" t="s">
        <v>1718</v>
      </c>
      <c r="E56" s="32" t="s">
        <v>559</v>
      </c>
      <c r="F56" s="32" t="s">
        <v>1768</v>
      </c>
      <c r="G56" s="34">
        <v>46133</v>
      </c>
      <c r="H56" s="34">
        <v>46159</v>
      </c>
      <c r="I56" s="32" t="s">
        <v>100</v>
      </c>
      <c r="J56" s="77" t="s">
        <v>66</v>
      </c>
      <c r="K56" s="68" t="s">
        <v>105</v>
      </c>
      <c r="L56" s="81">
        <v>2900</v>
      </c>
      <c r="M56" s="141">
        <v>0</v>
      </c>
      <c r="N56" s="223">
        <v>100</v>
      </c>
      <c r="O56" s="224">
        <f>IFERROR(SUM(L56+N56),"")</f>
        <v>3000</v>
      </c>
    </row>
    <row r="57" spans="1:15">
      <c r="A57" s="114" t="s">
        <v>1769</v>
      </c>
      <c r="B57" s="106" t="s">
        <v>1717</v>
      </c>
      <c r="C57" s="33" t="s">
        <v>1683</v>
      </c>
      <c r="D57" s="273" t="s">
        <v>1718</v>
      </c>
      <c r="E57" s="32" t="s">
        <v>559</v>
      </c>
      <c r="F57" s="32" t="s">
        <v>1770</v>
      </c>
      <c r="G57" s="34">
        <v>46133</v>
      </c>
      <c r="H57" s="34">
        <v>46159</v>
      </c>
      <c r="I57" s="32" t="s">
        <v>100</v>
      </c>
      <c r="J57" s="77" t="s">
        <v>66</v>
      </c>
      <c r="K57" s="68" t="s">
        <v>105</v>
      </c>
      <c r="L57" s="81">
        <v>2900</v>
      </c>
      <c r="M57" s="141">
        <v>0</v>
      </c>
      <c r="N57" s="223">
        <v>100</v>
      </c>
      <c r="O57" s="224">
        <f>IFERROR(SUM(L57+N57),"")</f>
        <v>3000</v>
      </c>
    </row>
    <row r="58" spans="1:15">
      <c r="A58" s="114" t="s">
        <v>1771</v>
      </c>
      <c r="B58" s="106" t="s">
        <v>1717</v>
      </c>
      <c r="C58" s="33" t="s">
        <v>1683</v>
      </c>
      <c r="D58" s="273" t="s">
        <v>1718</v>
      </c>
      <c r="E58" s="32" t="s">
        <v>559</v>
      </c>
      <c r="F58" s="32" t="s">
        <v>1772</v>
      </c>
      <c r="G58" s="34">
        <v>46148</v>
      </c>
      <c r="H58" s="34">
        <v>46173</v>
      </c>
      <c r="I58" s="32" t="s">
        <v>149</v>
      </c>
      <c r="J58" s="77" t="s">
        <v>66</v>
      </c>
      <c r="K58" s="68" t="s">
        <v>105</v>
      </c>
      <c r="L58" s="81">
        <v>3000</v>
      </c>
      <c r="M58" s="141">
        <v>0</v>
      </c>
      <c r="N58" s="223">
        <v>100</v>
      </c>
      <c r="O58" s="224">
        <f>IFERROR(SUM(L58+N58),"")</f>
        <v>3100</v>
      </c>
    </row>
    <row r="59" spans="1:15" ht="15">
      <c r="A59" s="114" t="s">
        <v>1773</v>
      </c>
      <c r="B59" s="106" t="s">
        <v>1717</v>
      </c>
      <c r="C59" s="33" t="s">
        <v>1683</v>
      </c>
      <c r="D59" s="273" t="s">
        <v>1718</v>
      </c>
      <c r="E59" s="32" t="s">
        <v>559</v>
      </c>
      <c r="F59" s="32" t="s">
        <v>1774</v>
      </c>
      <c r="G59" s="34">
        <v>46156</v>
      </c>
      <c r="H59" s="34">
        <v>46183</v>
      </c>
      <c r="I59" s="32" t="s">
        <v>507</v>
      </c>
      <c r="J59" s="77" t="s">
        <v>66</v>
      </c>
      <c r="K59" s="68" t="s">
        <v>105</v>
      </c>
      <c r="L59" s="81">
        <v>3650</v>
      </c>
      <c r="M59" s="141">
        <v>0</v>
      </c>
      <c r="N59" s="223">
        <v>100</v>
      </c>
      <c r="O59" s="224">
        <f>IFERROR(SUM(L59+N59),"")</f>
        <v>3750</v>
      </c>
    </row>
    <row r="60" spans="1:15" ht="15">
      <c r="A60" s="114" t="s">
        <v>1775</v>
      </c>
      <c r="B60" s="106" t="s">
        <v>1717</v>
      </c>
      <c r="C60" s="33" t="s">
        <v>1683</v>
      </c>
      <c r="D60" s="273" t="s">
        <v>1718</v>
      </c>
      <c r="E60" s="32" t="s">
        <v>559</v>
      </c>
      <c r="F60" s="32" t="s">
        <v>1776</v>
      </c>
      <c r="G60" s="34">
        <v>46146</v>
      </c>
      <c r="H60" s="34">
        <v>46175</v>
      </c>
      <c r="I60" s="32" t="s">
        <v>89</v>
      </c>
      <c r="J60" s="77" t="s">
        <v>66</v>
      </c>
      <c r="K60" s="68" t="s">
        <v>105</v>
      </c>
      <c r="L60" s="81">
        <v>3100</v>
      </c>
      <c r="M60" s="141">
        <v>0</v>
      </c>
      <c r="N60" s="223">
        <v>100</v>
      </c>
      <c r="O60" s="224">
        <f>IFERROR(SUM(L60+N60),"")</f>
        <v>3200</v>
      </c>
    </row>
    <row r="61" spans="1:15" ht="15">
      <c r="A61" s="114" t="s">
        <v>1777</v>
      </c>
      <c r="B61" s="106" t="s">
        <v>1717</v>
      </c>
      <c r="C61" s="33" t="s">
        <v>1683</v>
      </c>
      <c r="D61" s="273" t="s">
        <v>1718</v>
      </c>
      <c r="E61" s="32" t="s">
        <v>559</v>
      </c>
      <c r="F61" s="32" t="s">
        <v>1778</v>
      </c>
      <c r="G61" s="34">
        <v>46146</v>
      </c>
      <c r="H61" s="34">
        <v>46175</v>
      </c>
      <c r="I61" s="32" t="s">
        <v>89</v>
      </c>
      <c r="J61" s="77" t="s">
        <v>66</v>
      </c>
      <c r="K61" s="68" t="s">
        <v>105</v>
      </c>
      <c r="L61" s="81">
        <v>3100</v>
      </c>
      <c r="M61" s="141">
        <v>0</v>
      </c>
      <c r="N61" s="223">
        <v>100</v>
      </c>
      <c r="O61" s="224">
        <f>IFERROR(SUM(L61+N61),"")</f>
        <v>3200</v>
      </c>
    </row>
    <row r="62" spans="1:15" ht="15">
      <c r="A62" s="114" t="s">
        <v>1779</v>
      </c>
      <c r="B62" s="106" t="s">
        <v>1717</v>
      </c>
      <c r="C62" s="33" t="s">
        <v>1683</v>
      </c>
      <c r="D62" s="273" t="s">
        <v>1718</v>
      </c>
      <c r="E62" s="32" t="s">
        <v>559</v>
      </c>
      <c r="F62" s="32" t="s">
        <v>1780</v>
      </c>
      <c r="G62" s="34">
        <v>46156</v>
      </c>
      <c r="H62" s="34">
        <v>46176</v>
      </c>
      <c r="I62" s="32" t="s">
        <v>507</v>
      </c>
      <c r="J62" s="77" t="s">
        <v>66</v>
      </c>
      <c r="K62" s="68" t="s">
        <v>105</v>
      </c>
      <c r="L62" s="81">
        <v>3650</v>
      </c>
      <c r="M62" s="141">
        <v>0</v>
      </c>
      <c r="N62" s="223">
        <v>100</v>
      </c>
      <c r="O62" s="224">
        <f>IFERROR(SUM(L62+N62),"")</f>
        <v>3750</v>
      </c>
    </row>
    <row r="63" spans="1:15" ht="15" customHeight="1">
      <c r="A63" s="114" t="s">
        <v>1781</v>
      </c>
      <c r="B63" s="106" t="s">
        <v>1717</v>
      </c>
      <c r="C63" s="33" t="s">
        <v>1683</v>
      </c>
      <c r="D63" s="273" t="s">
        <v>1718</v>
      </c>
      <c r="E63" s="32" t="s">
        <v>559</v>
      </c>
      <c r="F63" s="32" t="s">
        <v>1782</v>
      </c>
      <c r="G63" s="34">
        <v>46156</v>
      </c>
      <c r="H63" s="34">
        <v>46176</v>
      </c>
      <c r="I63" s="32" t="s">
        <v>507</v>
      </c>
      <c r="J63" s="77" t="s">
        <v>66</v>
      </c>
      <c r="K63" s="68" t="s">
        <v>105</v>
      </c>
      <c r="L63" s="81">
        <v>3650</v>
      </c>
      <c r="M63" s="141">
        <v>0</v>
      </c>
      <c r="N63" s="223">
        <v>100</v>
      </c>
      <c r="O63" s="224">
        <f>IFERROR(SUM(L63+N63),"")</f>
        <v>3750</v>
      </c>
    </row>
    <row r="64" spans="1:15" ht="15" customHeight="1">
      <c r="A64" s="114" t="s">
        <v>1783</v>
      </c>
      <c r="B64" s="106" t="s">
        <v>1717</v>
      </c>
      <c r="C64" s="33" t="s">
        <v>1683</v>
      </c>
      <c r="D64" s="273" t="s">
        <v>1718</v>
      </c>
      <c r="E64" s="32" t="s">
        <v>559</v>
      </c>
      <c r="F64" s="32" t="s">
        <v>1784</v>
      </c>
      <c r="G64" s="34">
        <v>46156</v>
      </c>
      <c r="H64" s="34">
        <v>46187</v>
      </c>
      <c r="I64" s="32" t="s">
        <v>1785</v>
      </c>
      <c r="J64" s="77" t="s">
        <v>66</v>
      </c>
      <c r="K64" s="68" t="s">
        <v>105</v>
      </c>
      <c r="L64" s="81">
        <v>3750</v>
      </c>
      <c r="M64" s="141">
        <v>0</v>
      </c>
      <c r="N64" s="223">
        <v>100</v>
      </c>
      <c r="O64" s="224">
        <f>IFERROR(SUM(L64+N64),"")</f>
        <v>3850</v>
      </c>
    </row>
    <row r="65" spans="1:15" ht="15">
      <c r="A65" s="114" t="s">
        <v>1786</v>
      </c>
      <c r="B65" s="106" t="s">
        <v>1717</v>
      </c>
      <c r="C65" s="33" t="s">
        <v>1683</v>
      </c>
      <c r="D65" s="273" t="s">
        <v>1718</v>
      </c>
      <c r="E65" s="32" t="s">
        <v>559</v>
      </c>
      <c r="F65" s="32" t="s">
        <v>1787</v>
      </c>
      <c r="G65" s="34">
        <v>46162</v>
      </c>
      <c r="H65" s="34">
        <v>46190</v>
      </c>
      <c r="I65" s="32" t="s">
        <v>100</v>
      </c>
      <c r="J65" s="77" t="s">
        <v>1788</v>
      </c>
      <c r="K65" s="68" t="s">
        <v>105</v>
      </c>
      <c r="L65" s="81">
        <v>4450</v>
      </c>
      <c r="M65" s="141">
        <v>0</v>
      </c>
      <c r="N65" s="223">
        <v>100</v>
      </c>
      <c r="O65" s="224">
        <f>IFERROR(SUM(L65+N65),"")</f>
        <v>4550</v>
      </c>
    </row>
    <row r="66" spans="1:15">
      <c r="A66" s="114" t="s">
        <v>1789</v>
      </c>
      <c r="B66" s="106" t="s">
        <v>1717</v>
      </c>
      <c r="C66" s="33" t="s">
        <v>1683</v>
      </c>
      <c r="D66" s="273" t="s">
        <v>1718</v>
      </c>
      <c r="E66" s="32" t="s">
        <v>559</v>
      </c>
      <c r="F66" s="32" t="s">
        <v>1543</v>
      </c>
      <c r="G66" s="34">
        <v>46161</v>
      </c>
      <c r="H66" s="34">
        <v>46189</v>
      </c>
      <c r="I66" s="32" t="s">
        <v>482</v>
      </c>
      <c r="J66" s="77" t="s">
        <v>66</v>
      </c>
      <c r="K66" s="68" t="s">
        <v>105</v>
      </c>
      <c r="L66" s="81">
        <v>4150</v>
      </c>
      <c r="M66" s="141">
        <v>0</v>
      </c>
      <c r="N66" s="223">
        <v>100</v>
      </c>
      <c r="O66" s="224">
        <f>IFERROR(SUM(L66+N66),"")</f>
        <v>4250</v>
      </c>
    </row>
    <row r="67" spans="1:15" ht="15">
      <c r="A67" s="114" t="s">
        <v>1790</v>
      </c>
      <c r="B67" s="106" t="s">
        <v>1717</v>
      </c>
      <c r="C67" s="33" t="s">
        <v>1683</v>
      </c>
      <c r="D67" s="273" t="s">
        <v>1718</v>
      </c>
      <c r="E67" s="32" t="s">
        <v>559</v>
      </c>
      <c r="F67" s="32" t="s">
        <v>1791</v>
      </c>
      <c r="G67" s="34">
        <v>46168</v>
      </c>
      <c r="H67" s="34">
        <v>46210</v>
      </c>
      <c r="I67" s="32" t="s">
        <v>482</v>
      </c>
      <c r="J67" s="77" t="s">
        <v>66</v>
      </c>
      <c r="K67" s="68" t="s">
        <v>105</v>
      </c>
      <c r="L67" s="81">
        <v>4550</v>
      </c>
      <c r="M67" s="141">
        <v>0</v>
      </c>
      <c r="N67" s="223">
        <v>100</v>
      </c>
      <c r="O67" s="224">
        <f>IFERROR(SUM(L67+N67),"")</f>
        <v>4650</v>
      </c>
    </row>
    <row r="68" spans="1:15" ht="15">
      <c r="A68" s="114" t="s">
        <v>1792</v>
      </c>
      <c r="B68" s="106" t="s">
        <v>1717</v>
      </c>
      <c r="C68" s="33" t="s">
        <v>1683</v>
      </c>
      <c r="D68" s="273" t="s">
        <v>1718</v>
      </c>
      <c r="E68" s="32" t="s">
        <v>559</v>
      </c>
      <c r="F68" s="32" t="s">
        <v>1793</v>
      </c>
      <c r="G68" s="34">
        <v>46161</v>
      </c>
      <c r="H68" s="34">
        <v>46187</v>
      </c>
      <c r="I68" s="32" t="s">
        <v>89</v>
      </c>
      <c r="J68" s="77" t="s">
        <v>66</v>
      </c>
      <c r="K68" s="68" t="s">
        <v>105</v>
      </c>
      <c r="L68" s="81">
        <v>4200</v>
      </c>
      <c r="M68" s="141">
        <v>0</v>
      </c>
      <c r="N68" s="223">
        <v>100</v>
      </c>
      <c r="O68" s="224">
        <f>IFERROR(SUM(L68+N68),"")</f>
        <v>4300</v>
      </c>
    </row>
    <row r="69" spans="1:15" ht="15">
      <c r="A69" s="114" t="s">
        <v>1794</v>
      </c>
      <c r="B69" s="106" t="s">
        <v>1717</v>
      </c>
      <c r="C69" s="33" t="s">
        <v>1683</v>
      </c>
      <c r="D69" s="303" t="s">
        <v>1718</v>
      </c>
      <c r="E69" s="15" t="s">
        <v>559</v>
      </c>
      <c r="F69" s="15" t="s">
        <v>1795</v>
      </c>
      <c r="G69" s="17">
        <v>46168</v>
      </c>
      <c r="H69" s="34">
        <v>46210</v>
      </c>
      <c r="I69" s="32" t="s">
        <v>482</v>
      </c>
      <c r="J69" s="77" t="s">
        <v>66</v>
      </c>
      <c r="K69" s="68" t="s">
        <v>105</v>
      </c>
      <c r="L69" s="81">
        <v>4550</v>
      </c>
      <c r="M69" s="141">
        <v>0</v>
      </c>
      <c r="N69" s="223">
        <v>100</v>
      </c>
      <c r="O69" s="224">
        <f>IFERROR(SUM(L69+N69),"")</f>
        <v>4650</v>
      </c>
    </row>
    <row r="70" spans="1:15" ht="15">
      <c r="A70" s="114" t="s">
        <v>1796</v>
      </c>
      <c r="B70" s="106" t="s">
        <v>1717</v>
      </c>
      <c r="C70" s="33" t="s">
        <v>1683</v>
      </c>
      <c r="D70" s="303" t="s">
        <v>1718</v>
      </c>
      <c r="E70" s="15" t="s">
        <v>559</v>
      </c>
      <c r="F70" s="15" t="s">
        <v>1797</v>
      </c>
      <c r="G70" s="17">
        <v>46168</v>
      </c>
      <c r="H70" s="34">
        <v>46215</v>
      </c>
      <c r="I70" s="32" t="s">
        <v>482</v>
      </c>
      <c r="J70" s="77" t="s">
        <v>66</v>
      </c>
      <c r="K70" s="68" t="s">
        <v>105</v>
      </c>
      <c r="L70" s="81">
        <v>4550</v>
      </c>
      <c r="M70" s="141">
        <v>0</v>
      </c>
      <c r="N70" s="223">
        <v>100</v>
      </c>
      <c r="O70" s="224">
        <f>IFERROR(SUM(L70+N70),"")</f>
        <v>4650</v>
      </c>
    </row>
    <row r="71" spans="1:15" ht="15">
      <c r="A71" s="114" t="s">
        <v>1798</v>
      </c>
      <c r="B71" s="106" t="s">
        <v>1717</v>
      </c>
      <c r="C71" s="33" t="s">
        <v>1683</v>
      </c>
      <c r="D71" s="303" t="s">
        <v>1718</v>
      </c>
      <c r="E71" s="15" t="s">
        <v>559</v>
      </c>
      <c r="F71" s="15" t="s">
        <v>1799</v>
      </c>
      <c r="G71" s="17">
        <v>46177</v>
      </c>
      <c r="H71" s="34">
        <v>46210</v>
      </c>
      <c r="I71" s="32" t="s">
        <v>507</v>
      </c>
      <c r="J71" s="77" t="s">
        <v>66</v>
      </c>
      <c r="K71" s="68" t="s">
        <v>105</v>
      </c>
      <c r="L71" s="81">
        <v>6100</v>
      </c>
      <c r="M71" s="141">
        <v>0</v>
      </c>
      <c r="N71" s="141">
        <v>100</v>
      </c>
      <c r="O71" s="224">
        <f>IFERROR(SUM(L71+N71),"")</f>
        <v>6200</v>
      </c>
    </row>
    <row r="72" spans="1:15" ht="15">
      <c r="A72" s="114" t="s">
        <v>1800</v>
      </c>
      <c r="B72" s="106" t="s">
        <v>1717</v>
      </c>
      <c r="C72" s="33" t="s">
        <v>1683</v>
      </c>
      <c r="D72" s="303" t="s">
        <v>1718</v>
      </c>
      <c r="E72" s="15" t="s">
        <v>559</v>
      </c>
      <c r="F72" s="15" t="s">
        <v>1801</v>
      </c>
      <c r="G72" s="17">
        <v>46177</v>
      </c>
      <c r="H72" s="34">
        <v>46210</v>
      </c>
      <c r="I72" s="32" t="s">
        <v>507</v>
      </c>
      <c r="J72" s="77" t="s">
        <v>66</v>
      </c>
      <c r="K72" s="68" t="s">
        <v>105</v>
      </c>
      <c r="L72" s="81">
        <v>6100</v>
      </c>
      <c r="M72" s="141">
        <v>0</v>
      </c>
      <c r="N72" s="141">
        <v>100</v>
      </c>
      <c r="O72" s="224">
        <f>IFERROR(SUM(L72+N72),"")</f>
        <v>6200</v>
      </c>
    </row>
    <row r="73" spans="1:15" ht="15">
      <c r="A73" s="114" t="s">
        <v>1802</v>
      </c>
      <c r="B73" s="106" t="s">
        <v>1717</v>
      </c>
      <c r="C73" s="33" t="s">
        <v>1683</v>
      </c>
      <c r="D73" s="303" t="s">
        <v>1718</v>
      </c>
      <c r="E73" s="15" t="s">
        <v>559</v>
      </c>
      <c r="F73" s="15" t="s">
        <v>1803</v>
      </c>
      <c r="G73" s="17">
        <v>46177</v>
      </c>
      <c r="H73" s="34">
        <v>46210</v>
      </c>
      <c r="I73" s="32" t="s">
        <v>507</v>
      </c>
      <c r="J73" s="77" t="s">
        <v>66</v>
      </c>
      <c r="K73" s="68" t="s">
        <v>105</v>
      </c>
      <c r="L73" s="81">
        <v>6100</v>
      </c>
      <c r="M73" s="141">
        <v>0</v>
      </c>
      <c r="N73" s="141">
        <v>100</v>
      </c>
      <c r="O73" s="224">
        <f>IFERROR(SUM(L73+N73),"")</f>
        <v>6200</v>
      </c>
    </row>
    <row r="74" spans="1:15" ht="15">
      <c r="A74" s="114" t="s">
        <v>1804</v>
      </c>
      <c r="B74" s="106" t="s">
        <v>1717</v>
      </c>
      <c r="C74" s="33" t="s">
        <v>1683</v>
      </c>
      <c r="D74" s="303" t="s">
        <v>1718</v>
      </c>
      <c r="E74" s="15" t="s">
        <v>559</v>
      </c>
      <c r="F74" s="15" t="s">
        <v>1805</v>
      </c>
      <c r="G74" s="17">
        <v>46181</v>
      </c>
      <c r="H74" s="34">
        <v>46208</v>
      </c>
      <c r="I74" s="32" t="s">
        <v>89</v>
      </c>
      <c r="J74" s="32" t="s">
        <v>66</v>
      </c>
      <c r="K74" s="68" t="s">
        <v>105</v>
      </c>
      <c r="L74" s="81">
        <v>6250</v>
      </c>
      <c r="M74" s="81">
        <v>0</v>
      </c>
      <c r="N74" s="81">
        <v>100</v>
      </c>
      <c r="O74" s="224">
        <f>IFERROR(SUM(L74+N74),"")</f>
        <v>6350</v>
      </c>
    </row>
    <row r="75" spans="1:15" ht="15">
      <c r="A75" s="114" t="s">
        <v>1806</v>
      </c>
      <c r="B75" s="106" t="s">
        <v>1717</v>
      </c>
      <c r="C75" s="33" t="s">
        <v>1683</v>
      </c>
      <c r="D75" s="273" t="s">
        <v>1650</v>
      </c>
      <c r="E75" s="32" t="s">
        <v>559</v>
      </c>
      <c r="F75" s="32" t="s">
        <v>1807</v>
      </c>
      <c r="G75" s="34">
        <v>46174</v>
      </c>
      <c r="H75" s="34">
        <v>46199</v>
      </c>
      <c r="I75" s="32" t="s">
        <v>89</v>
      </c>
      <c r="J75" s="32" t="s">
        <v>66</v>
      </c>
      <c r="K75" s="68" t="s">
        <v>105</v>
      </c>
      <c r="L75" s="81">
        <v>5500</v>
      </c>
      <c r="M75" s="81">
        <v>0</v>
      </c>
      <c r="N75" s="261">
        <v>0</v>
      </c>
      <c r="O75" s="224">
        <f>IFERROR(SUM(L75+N75),"")</f>
        <v>5500</v>
      </c>
    </row>
    <row r="76" spans="1:15" ht="15">
      <c r="A76" s="114" t="s">
        <v>1808</v>
      </c>
      <c r="B76" s="106" t="s">
        <v>1717</v>
      </c>
      <c r="C76" s="33" t="s">
        <v>1683</v>
      </c>
      <c r="D76" s="273" t="s">
        <v>1650</v>
      </c>
      <c r="E76" s="32" t="s">
        <v>559</v>
      </c>
      <c r="F76" s="32" t="s">
        <v>1809</v>
      </c>
      <c r="G76" s="34">
        <v>46174</v>
      </c>
      <c r="H76" s="34">
        <v>46199</v>
      </c>
      <c r="I76" s="32" t="s">
        <v>89</v>
      </c>
      <c r="J76" s="32" t="s">
        <v>66</v>
      </c>
      <c r="K76" s="68" t="s">
        <v>105</v>
      </c>
      <c r="L76" s="81">
        <v>5500</v>
      </c>
      <c r="M76" s="81">
        <v>0</v>
      </c>
      <c r="N76" s="261">
        <v>0</v>
      </c>
      <c r="O76" s="224">
        <f>IFERROR(SUM(L76+N76),"")</f>
        <v>5500</v>
      </c>
    </row>
    <row r="77" spans="1:15" ht="15">
      <c r="A77" s="114" t="s">
        <v>1810</v>
      </c>
      <c r="B77" s="106" t="s">
        <v>1717</v>
      </c>
      <c r="C77" s="33" t="s">
        <v>1683</v>
      </c>
      <c r="D77" s="303" t="s">
        <v>1718</v>
      </c>
      <c r="E77" s="15" t="s">
        <v>559</v>
      </c>
      <c r="F77" s="15" t="s">
        <v>1811</v>
      </c>
      <c r="G77" s="17">
        <v>46177</v>
      </c>
      <c r="H77" s="34">
        <v>46210</v>
      </c>
      <c r="I77" s="32" t="s">
        <v>507</v>
      </c>
      <c r="J77" s="32" t="s">
        <v>66</v>
      </c>
      <c r="K77" s="68" t="s">
        <v>105</v>
      </c>
      <c r="L77" s="81">
        <v>6100</v>
      </c>
      <c r="M77" s="81">
        <v>0</v>
      </c>
      <c r="N77" s="81">
        <v>100</v>
      </c>
      <c r="O77" s="224">
        <f>IFERROR(SUM(L77+N77),"")</f>
        <v>6200</v>
      </c>
    </row>
    <row r="78" spans="1:15" ht="15">
      <c r="A78" s="114" t="s">
        <v>1812</v>
      </c>
      <c r="B78" s="106" t="s">
        <v>1717</v>
      </c>
      <c r="C78" s="33" t="s">
        <v>1683</v>
      </c>
      <c r="D78" s="273" t="s">
        <v>1650</v>
      </c>
      <c r="E78" s="32" t="s">
        <v>559</v>
      </c>
      <c r="F78" s="32" t="s">
        <v>1813</v>
      </c>
      <c r="G78" s="34">
        <v>46174</v>
      </c>
      <c r="H78" s="34">
        <v>46199</v>
      </c>
      <c r="I78" s="32" t="s">
        <v>89</v>
      </c>
      <c r="J78" s="32" t="s">
        <v>66</v>
      </c>
      <c r="K78" s="68" t="s">
        <v>105</v>
      </c>
      <c r="L78" s="81">
        <v>5500</v>
      </c>
      <c r="M78" s="81">
        <v>0</v>
      </c>
      <c r="N78" s="261">
        <v>0</v>
      </c>
      <c r="O78" s="224">
        <f>IFERROR(SUM(L78+N78),"")</f>
        <v>5500</v>
      </c>
    </row>
    <row r="79" spans="1:15">
      <c r="A79" s="114" t="s">
        <v>1814</v>
      </c>
      <c r="B79" s="106" t="s">
        <v>1717</v>
      </c>
      <c r="C79" s="33" t="s">
        <v>1683</v>
      </c>
      <c r="D79" s="303" t="s">
        <v>1718</v>
      </c>
      <c r="E79" s="15" t="s">
        <v>559</v>
      </c>
      <c r="F79" s="15" t="s">
        <v>1815</v>
      </c>
      <c r="G79" s="17">
        <v>46182</v>
      </c>
      <c r="H79" s="34">
        <v>46217</v>
      </c>
      <c r="I79" s="32" t="s">
        <v>482</v>
      </c>
      <c r="J79" s="32" t="s">
        <v>66</v>
      </c>
      <c r="K79" s="68" t="s">
        <v>105</v>
      </c>
      <c r="L79" s="81">
        <v>5950</v>
      </c>
      <c r="M79" s="81">
        <v>0</v>
      </c>
      <c r="N79" s="81">
        <v>100</v>
      </c>
      <c r="O79" s="224">
        <f>IFERROR(SUM(L79+N79),"")</f>
        <v>6050</v>
      </c>
    </row>
    <row r="80" spans="1:15">
      <c r="A80" s="114" t="s">
        <v>1816</v>
      </c>
      <c r="B80" s="106" t="s">
        <v>1717</v>
      </c>
      <c r="C80" s="33" t="s">
        <v>1683</v>
      </c>
      <c r="D80" s="303" t="s">
        <v>1718</v>
      </c>
      <c r="E80" s="15" t="s">
        <v>559</v>
      </c>
      <c r="F80" s="15" t="s">
        <v>1817</v>
      </c>
      <c r="G80" s="17">
        <v>46182</v>
      </c>
      <c r="H80" s="34">
        <v>46217</v>
      </c>
      <c r="I80" s="32" t="s">
        <v>482</v>
      </c>
      <c r="J80" s="32" t="s">
        <v>66</v>
      </c>
      <c r="K80" s="68" t="s">
        <v>105</v>
      </c>
      <c r="L80" s="81">
        <v>5950</v>
      </c>
      <c r="M80" s="81">
        <v>0</v>
      </c>
      <c r="N80" s="81">
        <v>100</v>
      </c>
      <c r="O80" s="224">
        <f>IFERROR(SUM(L80+N80),"")</f>
        <v>6050</v>
      </c>
    </row>
    <row r="81" spans="1:15" ht="15">
      <c r="A81" s="114" t="s">
        <v>1818</v>
      </c>
      <c r="B81" s="106" t="s">
        <v>1717</v>
      </c>
      <c r="C81" s="33" t="s">
        <v>1683</v>
      </c>
      <c r="D81" s="273" t="s">
        <v>1718</v>
      </c>
      <c r="E81" s="32" t="s">
        <v>559</v>
      </c>
      <c r="F81" s="32" t="s">
        <v>1819</v>
      </c>
      <c r="G81" s="34">
        <v>46191</v>
      </c>
      <c r="H81" s="34">
        <v>46215</v>
      </c>
      <c r="I81" s="32" t="s">
        <v>507</v>
      </c>
      <c r="J81" s="32" t="s">
        <v>66</v>
      </c>
      <c r="K81" s="301" t="s">
        <v>105</v>
      </c>
      <c r="L81" s="81">
        <v>7100</v>
      </c>
      <c r="M81" s="81">
        <v>0</v>
      </c>
      <c r="N81" s="261">
        <v>100</v>
      </c>
      <c r="O81" s="224">
        <f>SUM(L81:N81)</f>
        <v>7200</v>
      </c>
    </row>
    <row r="82" spans="1:15" ht="15">
      <c r="A82" s="114" t="s">
        <v>1820</v>
      </c>
      <c r="B82" s="106" t="s">
        <v>1717</v>
      </c>
      <c r="C82" s="33" t="s">
        <v>1683</v>
      </c>
      <c r="D82" s="273" t="s">
        <v>1718</v>
      </c>
      <c r="E82" s="32" t="s">
        <v>559</v>
      </c>
      <c r="F82" s="32" t="s">
        <v>1821</v>
      </c>
      <c r="G82" s="34">
        <v>46195</v>
      </c>
      <c r="H82" s="34">
        <v>46215</v>
      </c>
      <c r="I82" s="32" t="s">
        <v>507</v>
      </c>
      <c r="J82" s="32" t="s">
        <v>66</v>
      </c>
      <c r="K82" s="301" t="s">
        <v>105</v>
      </c>
      <c r="L82" s="81">
        <v>7100</v>
      </c>
      <c r="M82" s="81">
        <v>0</v>
      </c>
      <c r="N82" s="261">
        <v>100</v>
      </c>
      <c r="O82" s="224">
        <f>SUM(L82:N82)</f>
        <v>7200</v>
      </c>
    </row>
    <row r="83" spans="1:15" ht="15">
      <c r="A83" s="114" t="s">
        <v>1822</v>
      </c>
      <c r="B83" s="106" t="s">
        <v>1717</v>
      </c>
      <c r="C83" s="33" t="s">
        <v>1683</v>
      </c>
      <c r="D83" s="273" t="s">
        <v>1718</v>
      </c>
      <c r="E83" s="32" t="s">
        <v>559</v>
      </c>
      <c r="F83" s="32" t="s">
        <v>1823</v>
      </c>
      <c r="G83" s="34">
        <v>46198</v>
      </c>
      <c r="H83" s="34">
        <v>46218</v>
      </c>
      <c r="I83" s="32" t="s">
        <v>507</v>
      </c>
      <c r="J83" s="32" t="s">
        <v>66</v>
      </c>
      <c r="K83" s="301" t="s">
        <v>105</v>
      </c>
      <c r="L83" s="81">
        <v>6900</v>
      </c>
      <c r="M83" s="81">
        <v>0</v>
      </c>
      <c r="N83" s="261">
        <v>100</v>
      </c>
      <c r="O83" s="224">
        <f>SUM(L83:N83)</f>
        <v>7000</v>
      </c>
    </row>
    <row r="84" spans="1:15" ht="15">
      <c r="A84" s="114" t="s">
        <v>1824</v>
      </c>
      <c r="B84" s="106" t="s">
        <v>1717</v>
      </c>
      <c r="C84" s="33" t="s">
        <v>1683</v>
      </c>
      <c r="D84" s="303" t="s">
        <v>1718</v>
      </c>
      <c r="E84" s="15" t="s">
        <v>559</v>
      </c>
      <c r="F84" s="15" t="s">
        <v>1825</v>
      </c>
      <c r="G84" s="17">
        <v>46185</v>
      </c>
      <c r="H84" s="34">
        <v>46251</v>
      </c>
      <c r="I84" s="32" t="s">
        <v>89</v>
      </c>
      <c r="J84" s="32" t="s">
        <v>1031</v>
      </c>
      <c r="K84" s="68" t="s">
        <v>105</v>
      </c>
      <c r="L84" s="81">
        <v>4900</v>
      </c>
      <c r="M84" s="81">
        <v>370</v>
      </c>
      <c r="N84" s="81">
        <v>0</v>
      </c>
      <c r="O84" s="224">
        <f>IFERROR(SUM(L84+N84+M84),"")</f>
        <v>5270</v>
      </c>
    </row>
    <row r="85" spans="1:15">
      <c r="A85" s="114" t="s">
        <v>1826</v>
      </c>
      <c r="B85" s="106" t="s">
        <v>1827</v>
      </c>
      <c r="C85" s="33" t="s">
        <v>5</v>
      </c>
      <c r="D85" s="303" t="s">
        <v>1650</v>
      </c>
      <c r="E85" s="15" t="s">
        <v>559</v>
      </c>
      <c r="F85" s="15" t="s">
        <v>1828</v>
      </c>
      <c r="G85" s="17">
        <v>46171</v>
      </c>
      <c r="H85" s="34">
        <v>46189</v>
      </c>
      <c r="I85" s="32" t="s">
        <v>100</v>
      </c>
      <c r="J85" s="77" t="s">
        <v>621</v>
      </c>
      <c r="K85" s="301" t="s">
        <v>1364</v>
      </c>
      <c r="L85" s="81">
        <v>3900</v>
      </c>
      <c r="M85" s="81">
        <v>0</v>
      </c>
      <c r="N85" s="81">
        <v>180</v>
      </c>
      <c r="O85" s="224">
        <f>IFERROR(SUM(L85+N85),"")</f>
        <v>4080</v>
      </c>
    </row>
    <row r="86" spans="1:15">
      <c r="A86" s="114" t="s">
        <v>1829</v>
      </c>
      <c r="B86" s="106" t="s">
        <v>1827</v>
      </c>
      <c r="C86" s="33" t="s">
        <v>5</v>
      </c>
      <c r="D86" s="303" t="s">
        <v>1650</v>
      </c>
      <c r="E86" s="15" t="s">
        <v>559</v>
      </c>
      <c r="F86" s="15" t="s">
        <v>1830</v>
      </c>
      <c r="G86" s="17">
        <v>46171</v>
      </c>
      <c r="H86" s="34">
        <v>46189</v>
      </c>
      <c r="I86" s="32" t="s">
        <v>100</v>
      </c>
      <c r="J86" s="77" t="s">
        <v>621</v>
      </c>
      <c r="K86" s="301" t="s">
        <v>1364</v>
      </c>
      <c r="L86" s="81">
        <v>3900</v>
      </c>
      <c r="M86" s="141">
        <v>0</v>
      </c>
      <c r="N86" s="223">
        <v>180</v>
      </c>
      <c r="O86" s="224">
        <f>IFERROR(SUM(L86+N86),"")</f>
        <v>4080</v>
      </c>
    </row>
    <row r="87" spans="1:15">
      <c r="A87" s="114" t="s">
        <v>1831</v>
      </c>
      <c r="B87" s="106" t="s">
        <v>1827</v>
      </c>
      <c r="C87" s="33" t="s">
        <v>5</v>
      </c>
      <c r="D87" s="303" t="s">
        <v>1650</v>
      </c>
      <c r="E87" s="15" t="s">
        <v>559</v>
      </c>
      <c r="F87" s="15" t="s">
        <v>1832</v>
      </c>
      <c r="G87" s="17">
        <v>46171</v>
      </c>
      <c r="H87" s="34">
        <v>46189</v>
      </c>
      <c r="I87" s="32" t="s">
        <v>100</v>
      </c>
      <c r="J87" s="77" t="s">
        <v>621</v>
      </c>
      <c r="K87" s="301" t="s">
        <v>1364</v>
      </c>
      <c r="L87" s="81">
        <v>3900</v>
      </c>
      <c r="M87" s="141">
        <v>0</v>
      </c>
      <c r="N87" s="223">
        <v>180</v>
      </c>
      <c r="O87" s="224">
        <f>IFERROR(SUM(L87+N87),"")</f>
        <v>4080</v>
      </c>
    </row>
    <row r="88" spans="1:15">
      <c r="A88" s="114" t="s">
        <v>1833</v>
      </c>
      <c r="B88" s="106" t="s">
        <v>1827</v>
      </c>
      <c r="C88" s="33" t="s">
        <v>5</v>
      </c>
      <c r="D88" s="303" t="s">
        <v>1650</v>
      </c>
      <c r="E88" s="15" t="s">
        <v>559</v>
      </c>
      <c r="F88" s="15" t="s">
        <v>1834</v>
      </c>
      <c r="G88" s="17">
        <v>46171</v>
      </c>
      <c r="H88" s="34">
        <v>46189</v>
      </c>
      <c r="I88" s="32" t="s">
        <v>100</v>
      </c>
      <c r="J88" s="77" t="s">
        <v>621</v>
      </c>
      <c r="K88" s="301" t="s">
        <v>1364</v>
      </c>
      <c r="L88" s="81">
        <v>3900</v>
      </c>
      <c r="M88" s="141">
        <v>0</v>
      </c>
      <c r="N88" s="223">
        <v>180</v>
      </c>
      <c r="O88" s="224">
        <f>IFERROR(SUM(L88+N88),"")</f>
        <v>4080</v>
      </c>
    </row>
    <row r="89" spans="1:15">
      <c r="A89" s="114" t="s">
        <v>1835</v>
      </c>
      <c r="B89" s="106" t="s">
        <v>1827</v>
      </c>
      <c r="C89" s="33" t="s">
        <v>5</v>
      </c>
      <c r="D89" s="303" t="s">
        <v>1650</v>
      </c>
      <c r="E89" s="15" t="s">
        <v>559</v>
      </c>
      <c r="F89" s="15" t="s">
        <v>1836</v>
      </c>
      <c r="G89" s="17">
        <v>46171</v>
      </c>
      <c r="H89" s="34">
        <v>46189</v>
      </c>
      <c r="I89" s="32" t="s">
        <v>100</v>
      </c>
      <c r="J89" s="77" t="s">
        <v>621</v>
      </c>
      <c r="K89" s="301" t="s">
        <v>1364</v>
      </c>
      <c r="L89" s="81">
        <v>3900</v>
      </c>
      <c r="M89" s="141">
        <v>0</v>
      </c>
      <c r="N89" s="223">
        <v>180</v>
      </c>
      <c r="O89" s="224">
        <f>IFERROR(SUM(L89+N89),"")</f>
        <v>4080</v>
      </c>
    </row>
    <row r="90" spans="1:15">
      <c r="A90" s="114" t="s">
        <v>1837</v>
      </c>
      <c r="B90" s="106" t="s">
        <v>1827</v>
      </c>
      <c r="C90" s="33" t="s">
        <v>5</v>
      </c>
      <c r="D90" s="303" t="s">
        <v>1650</v>
      </c>
      <c r="E90" s="15" t="s">
        <v>559</v>
      </c>
      <c r="F90" s="15" t="s">
        <v>1838</v>
      </c>
      <c r="G90" s="17">
        <v>46171</v>
      </c>
      <c r="H90" s="34">
        <v>46189</v>
      </c>
      <c r="I90" s="32" t="s">
        <v>100</v>
      </c>
      <c r="J90" s="77" t="s">
        <v>621</v>
      </c>
      <c r="K90" s="301" t="s">
        <v>1364</v>
      </c>
      <c r="L90" s="81">
        <v>3900</v>
      </c>
      <c r="M90" s="141">
        <v>0</v>
      </c>
      <c r="N90" s="223">
        <v>180</v>
      </c>
      <c r="O90" s="224">
        <f>IFERROR(SUM(L90+N90),"")</f>
        <v>4080</v>
      </c>
    </row>
    <row r="91" spans="1:15">
      <c r="A91" s="114" t="s">
        <v>1839</v>
      </c>
      <c r="B91" s="106" t="s">
        <v>1827</v>
      </c>
      <c r="C91" s="33" t="s">
        <v>5</v>
      </c>
      <c r="D91" s="303" t="s">
        <v>1650</v>
      </c>
      <c r="E91" s="15" t="s">
        <v>559</v>
      </c>
      <c r="F91" s="15" t="s">
        <v>1840</v>
      </c>
      <c r="G91" s="17">
        <v>46171</v>
      </c>
      <c r="H91" s="34">
        <v>46189</v>
      </c>
      <c r="I91" s="32" t="s">
        <v>100</v>
      </c>
      <c r="J91" s="77" t="s">
        <v>621</v>
      </c>
      <c r="K91" s="301" t="s">
        <v>1364</v>
      </c>
      <c r="L91" s="81">
        <v>3900</v>
      </c>
      <c r="M91" s="141">
        <v>0</v>
      </c>
      <c r="N91" s="223">
        <v>180</v>
      </c>
      <c r="O91" s="224">
        <f>IFERROR(SUM(L91+N91),"")</f>
        <v>4080</v>
      </c>
    </row>
    <row r="92" spans="1:15">
      <c r="A92" s="114" t="s">
        <v>1841</v>
      </c>
      <c r="B92" s="106" t="s">
        <v>1827</v>
      </c>
      <c r="C92" s="33" t="s">
        <v>5</v>
      </c>
      <c r="D92" s="273" t="s">
        <v>1650</v>
      </c>
      <c r="E92" s="32" t="s">
        <v>559</v>
      </c>
      <c r="F92" s="32" t="s">
        <v>1842</v>
      </c>
      <c r="G92" s="34">
        <v>46171</v>
      </c>
      <c r="H92" s="34">
        <v>46189</v>
      </c>
      <c r="I92" s="32" t="s">
        <v>100</v>
      </c>
      <c r="J92" s="77" t="s">
        <v>621</v>
      </c>
      <c r="K92" s="301" t="s">
        <v>1364</v>
      </c>
      <c r="L92" s="81">
        <v>3900</v>
      </c>
      <c r="M92" s="141">
        <v>0</v>
      </c>
      <c r="N92" s="223">
        <v>180</v>
      </c>
      <c r="O92" s="224">
        <f>IFERROR(SUM(L92+N92),"")</f>
        <v>4080</v>
      </c>
    </row>
    <row r="93" spans="1:15">
      <c r="A93" s="114" t="s">
        <v>1843</v>
      </c>
      <c r="B93" s="106" t="s">
        <v>1827</v>
      </c>
      <c r="C93" s="33" t="s">
        <v>5</v>
      </c>
      <c r="D93" s="273" t="s">
        <v>1650</v>
      </c>
      <c r="E93" s="32" t="s">
        <v>559</v>
      </c>
      <c r="F93" s="32" t="s">
        <v>1844</v>
      </c>
      <c r="G93" s="34">
        <v>46178</v>
      </c>
      <c r="H93" s="34">
        <v>46196</v>
      </c>
      <c r="I93" s="32" t="s">
        <v>100</v>
      </c>
      <c r="J93" s="77" t="s">
        <v>621</v>
      </c>
      <c r="K93" s="301" t="s">
        <v>1364</v>
      </c>
      <c r="L93" s="81">
        <v>3880</v>
      </c>
      <c r="M93" s="141">
        <v>0</v>
      </c>
      <c r="N93" s="223">
        <v>180</v>
      </c>
      <c r="O93" s="224">
        <f>IFERROR(SUM(L93+N93),"")</f>
        <v>4060</v>
      </c>
    </row>
    <row r="94" spans="1:15">
      <c r="A94" s="114" t="s">
        <v>1845</v>
      </c>
      <c r="B94" s="106" t="s">
        <v>1827</v>
      </c>
      <c r="C94" s="33" t="s">
        <v>5</v>
      </c>
      <c r="D94" s="273" t="s">
        <v>1650</v>
      </c>
      <c r="E94" s="32" t="s">
        <v>559</v>
      </c>
      <c r="F94" s="32" t="s">
        <v>1846</v>
      </c>
      <c r="G94" s="34">
        <v>46178</v>
      </c>
      <c r="H94" s="34">
        <v>46196</v>
      </c>
      <c r="I94" s="32" t="s">
        <v>100</v>
      </c>
      <c r="J94" s="77" t="s">
        <v>621</v>
      </c>
      <c r="K94" s="301" t="s">
        <v>1364</v>
      </c>
      <c r="L94" s="81">
        <v>3880</v>
      </c>
      <c r="M94" s="141">
        <v>0</v>
      </c>
      <c r="N94" s="223">
        <v>180</v>
      </c>
      <c r="O94" s="224">
        <f>IFERROR(SUM(L94+N94),"")</f>
        <v>4060</v>
      </c>
    </row>
    <row r="95" spans="1:15">
      <c r="A95" s="114" t="s">
        <v>1847</v>
      </c>
      <c r="B95" s="106" t="s">
        <v>1827</v>
      </c>
      <c r="C95" s="33" t="s">
        <v>5</v>
      </c>
      <c r="D95" s="273" t="s">
        <v>1650</v>
      </c>
      <c r="E95" s="32" t="s">
        <v>559</v>
      </c>
      <c r="F95" s="32" t="s">
        <v>1848</v>
      </c>
      <c r="G95" s="34">
        <v>46178</v>
      </c>
      <c r="H95" s="34">
        <v>46196</v>
      </c>
      <c r="I95" s="32" t="s">
        <v>100</v>
      </c>
      <c r="J95" s="77" t="s">
        <v>621</v>
      </c>
      <c r="K95" s="301" t="s">
        <v>1364</v>
      </c>
      <c r="L95" s="81">
        <v>3880</v>
      </c>
      <c r="M95" s="141">
        <v>0</v>
      </c>
      <c r="N95" s="223">
        <v>180</v>
      </c>
      <c r="O95" s="224">
        <f>IFERROR(SUM(L95+N95),"")</f>
        <v>4060</v>
      </c>
    </row>
    <row r="96" spans="1:15">
      <c r="A96" s="114" t="s">
        <v>1849</v>
      </c>
      <c r="B96" s="106" t="s">
        <v>1827</v>
      </c>
      <c r="C96" s="33" t="s">
        <v>5</v>
      </c>
      <c r="D96" s="273" t="s">
        <v>1650</v>
      </c>
      <c r="E96" s="32" t="s">
        <v>559</v>
      </c>
      <c r="F96" s="32" t="s">
        <v>1850</v>
      </c>
      <c r="G96" s="34">
        <v>46178</v>
      </c>
      <c r="H96" s="34">
        <v>46196</v>
      </c>
      <c r="I96" s="32" t="s">
        <v>100</v>
      </c>
      <c r="J96" s="77" t="s">
        <v>621</v>
      </c>
      <c r="K96" s="301" t="s">
        <v>1364</v>
      </c>
      <c r="L96" s="81">
        <v>3880</v>
      </c>
      <c r="M96" s="141">
        <v>0</v>
      </c>
      <c r="N96" s="223">
        <v>180</v>
      </c>
      <c r="O96" s="224">
        <f>IFERROR(SUM(L96+N96),"")</f>
        <v>4060</v>
      </c>
    </row>
    <row r="97" spans="1:15">
      <c r="A97" s="114" t="s">
        <v>1851</v>
      </c>
      <c r="B97" s="106" t="s">
        <v>1827</v>
      </c>
      <c r="C97" s="33" t="s">
        <v>5</v>
      </c>
      <c r="D97" s="273" t="s">
        <v>1650</v>
      </c>
      <c r="E97" s="32" t="s">
        <v>559</v>
      </c>
      <c r="F97" s="32" t="s">
        <v>1852</v>
      </c>
      <c r="G97" s="34">
        <v>46178</v>
      </c>
      <c r="H97" s="34">
        <v>46196</v>
      </c>
      <c r="I97" s="32" t="s">
        <v>100</v>
      </c>
      <c r="J97" s="77" t="s">
        <v>621</v>
      </c>
      <c r="K97" s="301" t="s">
        <v>1364</v>
      </c>
      <c r="L97" s="81">
        <v>3880</v>
      </c>
      <c r="M97" s="141">
        <v>0</v>
      </c>
      <c r="N97" s="223">
        <v>180</v>
      </c>
      <c r="O97" s="224">
        <f>IFERROR(SUM(L97+N97),"")</f>
        <v>4060</v>
      </c>
    </row>
    <row r="98" spans="1:15">
      <c r="A98" s="114" t="s">
        <v>1853</v>
      </c>
      <c r="B98" s="106" t="s">
        <v>1854</v>
      </c>
      <c r="C98" s="33" t="s">
        <v>5</v>
      </c>
      <c r="D98" s="273" t="s">
        <v>1650</v>
      </c>
      <c r="E98" s="32" t="s">
        <v>559</v>
      </c>
      <c r="F98" s="32" t="s">
        <v>1855</v>
      </c>
      <c r="G98" s="34">
        <v>46111</v>
      </c>
      <c r="H98" s="34">
        <v>46145</v>
      </c>
      <c r="I98" s="32" t="s">
        <v>482</v>
      </c>
      <c r="J98" s="77" t="s">
        <v>645</v>
      </c>
      <c r="K98" s="302" t="s">
        <v>122</v>
      </c>
      <c r="L98" s="81">
        <v>4950</v>
      </c>
      <c r="M98" s="141">
        <v>0</v>
      </c>
      <c r="N98" s="263">
        <v>180</v>
      </c>
      <c r="O98" s="224">
        <f>IFERROR(SUM(L98+N98),"")</f>
        <v>5130</v>
      </c>
    </row>
    <row r="99" spans="1:15">
      <c r="A99" s="114" t="s">
        <v>1856</v>
      </c>
      <c r="B99" s="106" t="s">
        <v>1854</v>
      </c>
      <c r="C99" s="33" t="s">
        <v>5</v>
      </c>
      <c r="D99" s="273" t="s">
        <v>1650</v>
      </c>
      <c r="E99" s="32" t="s">
        <v>559</v>
      </c>
      <c r="F99" s="32" t="s">
        <v>1857</v>
      </c>
      <c r="G99" s="34">
        <v>46129</v>
      </c>
      <c r="H99" s="34">
        <v>46147</v>
      </c>
      <c r="I99" s="32" t="s">
        <v>482</v>
      </c>
      <c r="J99" s="77" t="s">
        <v>66</v>
      </c>
      <c r="K99" s="302" t="s">
        <v>1364</v>
      </c>
      <c r="L99" s="81">
        <v>3345</v>
      </c>
      <c r="M99" s="141">
        <v>0</v>
      </c>
      <c r="N99" s="263">
        <v>0</v>
      </c>
      <c r="O99" s="224">
        <v>3345</v>
      </c>
    </row>
    <row r="100" spans="1:15">
      <c r="A100" s="114" t="s">
        <v>1858</v>
      </c>
      <c r="B100" s="106" t="s">
        <v>1854</v>
      </c>
      <c r="C100" s="33" t="s">
        <v>5</v>
      </c>
      <c r="D100" s="273" t="s">
        <v>1650</v>
      </c>
      <c r="E100" s="32" t="s">
        <v>559</v>
      </c>
      <c r="F100" s="32" t="s">
        <v>1859</v>
      </c>
      <c r="G100" s="34">
        <v>46144</v>
      </c>
      <c r="H100" s="34">
        <v>46172</v>
      </c>
      <c r="I100" s="32" t="s">
        <v>1175</v>
      </c>
      <c r="J100" s="77" t="s">
        <v>645</v>
      </c>
      <c r="K100" s="302" t="s">
        <v>122</v>
      </c>
      <c r="L100" s="81">
        <v>5310</v>
      </c>
      <c r="M100" s="141">
        <v>0</v>
      </c>
      <c r="N100" s="263">
        <v>0</v>
      </c>
      <c r="O100" s="224">
        <v>5310</v>
      </c>
    </row>
    <row r="101" spans="1:15">
      <c r="A101" s="114" t="s">
        <v>1860</v>
      </c>
      <c r="B101" s="106" t="s">
        <v>1854</v>
      </c>
      <c r="C101" s="33" t="s">
        <v>5</v>
      </c>
      <c r="D101" s="273" t="s">
        <v>1650</v>
      </c>
      <c r="E101" s="32" t="s">
        <v>559</v>
      </c>
      <c r="F101" s="32" t="s">
        <v>1861</v>
      </c>
      <c r="G101" s="34">
        <v>46159</v>
      </c>
      <c r="H101" s="34">
        <v>46196</v>
      </c>
      <c r="I101" s="32" t="s">
        <v>79</v>
      </c>
      <c r="J101" s="77" t="s">
        <v>66</v>
      </c>
      <c r="K101" s="302" t="s">
        <v>122</v>
      </c>
      <c r="L101" s="81">
        <v>5980</v>
      </c>
      <c r="M101" s="141">
        <v>0</v>
      </c>
      <c r="N101" s="263">
        <v>0</v>
      </c>
      <c r="O101" s="224">
        <f>IFERROR(SUM(L101+N101),"")</f>
        <v>5980</v>
      </c>
    </row>
    <row r="102" spans="1:15">
      <c r="A102" s="114" t="s">
        <v>1862</v>
      </c>
      <c r="B102" s="106" t="s">
        <v>1854</v>
      </c>
      <c r="C102" s="33" t="s">
        <v>5</v>
      </c>
      <c r="D102" s="273" t="s">
        <v>1650</v>
      </c>
      <c r="E102" s="32" t="s">
        <v>559</v>
      </c>
      <c r="F102" s="32" t="s">
        <v>1863</v>
      </c>
      <c r="G102" s="34">
        <v>46167</v>
      </c>
      <c r="H102" s="34">
        <v>46196</v>
      </c>
      <c r="I102" s="32" t="s">
        <v>79</v>
      </c>
      <c r="J102" s="77" t="s">
        <v>66</v>
      </c>
      <c r="K102" s="302" t="s">
        <v>122</v>
      </c>
      <c r="L102" s="81">
        <v>5035</v>
      </c>
      <c r="M102" s="141">
        <v>0</v>
      </c>
      <c r="N102" s="263">
        <v>0</v>
      </c>
      <c r="O102" s="224">
        <f>IFERROR(SUM(L102+N102),"")</f>
        <v>5035</v>
      </c>
    </row>
    <row r="103" spans="1:15">
      <c r="A103" s="114" t="s">
        <v>1864</v>
      </c>
      <c r="B103" s="106" t="s">
        <v>1854</v>
      </c>
      <c r="C103" s="33" t="s">
        <v>1854</v>
      </c>
      <c r="D103" s="273" t="s">
        <v>1650</v>
      </c>
      <c r="E103" s="32" t="s">
        <v>559</v>
      </c>
      <c r="F103" s="32" t="s">
        <v>1865</v>
      </c>
      <c r="G103" s="34">
        <v>46170</v>
      </c>
      <c r="H103" s="34">
        <v>46200</v>
      </c>
      <c r="I103" s="32" t="s">
        <v>65</v>
      </c>
      <c r="J103" s="77" t="s">
        <v>66</v>
      </c>
      <c r="K103" s="301" t="s">
        <v>122</v>
      </c>
      <c r="L103" s="81">
        <v>6635</v>
      </c>
      <c r="M103" s="141">
        <v>0</v>
      </c>
      <c r="N103" s="223">
        <v>0</v>
      </c>
      <c r="O103" s="224">
        <f>IFERROR(SUM(L103+N103),"")</f>
        <v>6635</v>
      </c>
    </row>
    <row r="104" spans="1:15">
      <c r="A104" s="114" t="s">
        <v>1866</v>
      </c>
      <c r="B104" s="106" t="s">
        <v>1854</v>
      </c>
      <c r="C104" s="33" t="s">
        <v>5</v>
      </c>
      <c r="D104" s="273" t="s">
        <v>1650</v>
      </c>
      <c r="E104" s="32" t="s">
        <v>559</v>
      </c>
      <c r="F104" s="32" t="s">
        <v>1867</v>
      </c>
      <c r="G104" s="34">
        <v>46168</v>
      </c>
      <c r="H104" s="34">
        <v>46194</v>
      </c>
      <c r="I104" s="32" t="s">
        <v>507</v>
      </c>
      <c r="J104" s="77" t="s">
        <v>66</v>
      </c>
      <c r="K104" s="301" t="s">
        <v>122</v>
      </c>
      <c r="L104" s="81">
        <v>5535</v>
      </c>
      <c r="M104" s="141">
        <v>0</v>
      </c>
      <c r="N104" s="223">
        <v>0</v>
      </c>
      <c r="O104" s="224">
        <f>IFERROR(SUM(L104+N104),"")</f>
        <v>5535</v>
      </c>
    </row>
    <row r="105" spans="1:15">
      <c r="A105" s="114" t="s">
        <v>1868</v>
      </c>
      <c r="B105" s="106" t="s">
        <v>1854</v>
      </c>
      <c r="C105" s="33" t="s">
        <v>5</v>
      </c>
      <c r="D105" s="273" t="s">
        <v>1650</v>
      </c>
      <c r="E105" s="32" t="s">
        <v>559</v>
      </c>
      <c r="F105" s="32" t="s">
        <v>1869</v>
      </c>
      <c r="G105" s="34">
        <v>46173</v>
      </c>
      <c r="H105" s="34">
        <v>46201</v>
      </c>
      <c r="I105" s="32" t="s">
        <v>100</v>
      </c>
      <c r="J105" s="77" t="s">
        <v>240</v>
      </c>
      <c r="K105" s="301" t="s">
        <v>122</v>
      </c>
      <c r="L105" s="81">
        <v>5535</v>
      </c>
      <c r="M105" s="141">
        <v>0</v>
      </c>
      <c r="N105" s="223">
        <v>0</v>
      </c>
      <c r="O105" s="224">
        <f>IFERROR(SUM(L105+N105),"")</f>
        <v>5535</v>
      </c>
    </row>
    <row r="106" spans="1:15">
      <c r="A106" s="114" t="s">
        <v>1870</v>
      </c>
      <c r="B106" s="106" t="s">
        <v>1854</v>
      </c>
      <c r="C106" s="33" t="s">
        <v>5</v>
      </c>
      <c r="D106" s="273" t="s">
        <v>1650</v>
      </c>
      <c r="E106" s="32" t="s">
        <v>559</v>
      </c>
      <c r="F106" s="32" t="s">
        <v>1871</v>
      </c>
      <c r="G106" s="34">
        <v>46180</v>
      </c>
      <c r="H106" s="34">
        <v>46213</v>
      </c>
      <c r="I106" s="32" t="s">
        <v>100</v>
      </c>
      <c r="J106" s="77" t="s">
        <v>85</v>
      </c>
      <c r="K106" s="301" t="s">
        <v>122</v>
      </c>
      <c r="L106" s="81">
        <v>8580</v>
      </c>
      <c r="M106" s="141">
        <v>0</v>
      </c>
      <c r="N106" s="223">
        <v>0</v>
      </c>
      <c r="O106" s="224">
        <f>IFERROR(SUM(L106+N106),"")</f>
        <v>8580</v>
      </c>
    </row>
    <row r="107" spans="1:15">
      <c r="A107" s="114" t="s">
        <v>1872</v>
      </c>
      <c r="B107" s="106" t="s">
        <v>1854</v>
      </c>
      <c r="C107" s="33" t="s">
        <v>5</v>
      </c>
      <c r="D107" s="273" t="s">
        <v>1650</v>
      </c>
      <c r="E107" s="32" t="s">
        <v>559</v>
      </c>
      <c r="F107" s="32" t="s">
        <v>1873</v>
      </c>
      <c r="G107" s="34">
        <v>46181</v>
      </c>
      <c r="H107" s="34">
        <v>46204</v>
      </c>
      <c r="I107" s="32" t="s">
        <v>100</v>
      </c>
      <c r="J107" s="77" t="s">
        <v>316</v>
      </c>
      <c r="K107" s="301" t="s">
        <v>1364</v>
      </c>
      <c r="L107" s="81">
        <v>5400</v>
      </c>
      <c r="M107" s="141">
        <v>0</v>
      </c>
      <c r="N107" s="223">
        <v>0</v>
      </c>
      <c r="O107" s="224">
        <f>IFERROR(SUM(L107+N107),"")</f>
        <v>5400</v>
      </c>
    </row>
    <row r="108" spans="1:15">
      <c r="A108" s="114" t="s">
        <v>1874</v>
      </c>
      <c r="B108" s="106" t="s">
        <v>1854</v>
      </c>
      <c r="C108" s="33" t="s">
        <v>5</v>
      </c>
      <c r="D108" s="273" t="s">
        <v>1650</v>
      </c>
      <c r="E108" s="32" t="s">
        <v>559</v>
      </c>
      <c r="F108" s="32" t="s">
        <v>1875</v>
      </c>
      <c r="G108" s="34">
        <v>46186</v>
      </c>
      <c r="H108" s="34">
        <v>46208</v>
      </c>
      <c r="I108" s="32" t="s">
        <v>482</v>
      </c>
      <c r="J108" s="77" t="s">
        <v>66</v>
      </c>
      <c r="K108" s="301" t="s">
        <v>1370</v>
      </c>
      <c r="L108" s="81">
        <v>5350</v>
      </c>
      <c r="M108" s="141">
        <v>0</v>
      </c>
      <c r="N108" s="223">
        <v>0</v>
      </c>
      <c r="O108" s="224">
        <f>IFERROR(SUM(L108+N108),"")</f>
        <v>5350</v>
      </c>
    </row>
    <row r="109" spans="1:15">
      <c r="A109" s="114" t="s">
        <v>1876</v>
      </c>
      <c r="B109" s="106" t="s">
        <v>1854</v>
      </c>
      <c r="C109" s="33" t="s">
        <v>5</v>
      </c>
      <c r="D109" s="273" t="s">
        <v>1650</v>
      </c>
      <c r="E109" s="32" t="s">
        <v>559</v>
      </c>
      <c r="F109" s="32" t="s">
        <v>1877</v>
      </c>
      <c r="G109" s="34">
        <v>46186</v>
      </c>
      <c r="H109" s="34">
        <v>46209</v>
      </c>
      <c r="I109" s="32" t="s">
        <v>482</v>
      </c>
      <c r="J109" s="77" t="s">
        <v>66</v>
      </c>
      <c r="K109" s="301" t="s">
        <v>1370</v>
      </c>
      <c r="L109" s="81">
        <v>5350</v>
      </c>
      <c r="M109" s="141">
        <v>0</v>
      </c>
      <c r="N109" s="223">
        <v>0</v>
      </c>
      <c r="O109" s="224">
        <f>IFERROR(SUM(L109+N109),"")</f>
        <v>5350</v>
      </c>
    </row>
    <row r="110" spans="1:15">
      <c r="A110" s="114" t="s">
        <v>1878</v>
      </c>
      <c r="B110" s="106" t="s">
        <v>1879</v>
      </c>
      <c r="C110" s="33" t="s">
        <v>5</v>
      </c>
      <c r="D110" s="273" t="s">
        <v>1718</v>
      </c>
      <c r="E110" s="32" t="s">
        <v>559</v>
      </c>
      <c r="F110" s="32" t="s">
        <v>1880</v>
      </c>
      <c r="G110" s="34">
        <v>46121</v>
      </c>
      <c r="H110" s="34">
        <v>46153</v>
      </c>
      <c r="I110" s="32" t="s">
        <v>100</v>
      </c>
      <c r="J110" s="77" t="s">
        <v>66</v>
      </c>
      <c r="K110" s="301" t="s">
        <v>105</v>
      </c>
      <c r="L110" s="81">
        <v>3250</v>
      </c>
      <c r="M110" s="141">
        <v>0</v>
      </c>
      <c r="N110" s="223">
        <v>0</v>
      </c>
      <c r="O110" s="224">
        <f>IFERROR(SUM(L110+N110),"")</f>
        <v>3250</v>
      </c>
    </row>
    <row r="111" spans="1:15" ht="27.6">
      <c r="A111" s="114" t="s">
        <v>1881</v>
      </c>
      <c r="B111" s="106" t="s">
        <v>1882</v>
      </c>
      <c r="C111" s="33" t="s">
        <v>5</v>
      </c>
      <c r="D111" s="273" t="s">
        <v>1687</v>
      </c>
      <c r="E111" s="32" t="s">
        <v>559</v>
      </c>
      <c r="F111" s="32" t="s">
        <v>1883</v>
      </c>
      <c r="G111" s="34">
        <v>46159</v>
      </c>
      <c r="H111" s="34">
        <v>46183</v>
      </c>
      <c r="I111" s="32" t="s">
        <v>507</v>
      </c>
      <c r="J111" s="77" t="s">
        <v>240</v>
      </c>
      <c r="K111" s="301" t="s">
        <v>105</v>
      </c>
      <c r="L111" s="81">
        <v>4200</v>
      </c>
      <c r="M111" s="141">
        <v>0</v>
      </c>
      <c r="N111" s="223">
        <v>0</v>
      </c>
      <c r="O111" s="224">
        <f>IFERROR(SUM(L111+N111),"")</f>
        <v>4200</v>
      </c>
    </row>
    <row r="112" spans="1:15" ht="27.6">
      <c r="A112" s="114" t="s">
        <v>1884</v>
      </c>
      <c r="B112" s="106" t="s">
        <v>1882</v>
      </c>
      <c r="C112" s="33" t="s">
        <v>5</v>
      </c>
      <c r="D112" s="273" t="s">
        <v>1687</v>
      </c>
      <c r="E112" s="32" t="s">
        <v>559</v>
      </c>
      <c r="F112" s="32" t="s">
        <v>1885</v>
      </c>
      <c r="G112" s="34">
        <v>46161</v>
      </c>
      <c r="H112" s="34">
        <v>46189</v>
      </c>
      <c r="I112" s="32" t="s">
        <v>482</v>
      </c>
      <c r="J112" s="77" t="s">
        <v>66</v>
      </c>
      <c r="K112" s="301" t="s">
        <v>105</v>
      </c>
      <c r="L112" s="81">
        <v>4150</v>
      </c>
      <c r="M112" s="141">
        <v>0</v>
      </c>
      <c r="N112" s="223">
        <v>0</v>
      </c>
      <c r="O112" s="224">
        <f>IFERROR(SUM(L112+N112),"")</f>
        <v>4150</v>
      </c>
    </row>
    <row r="113" spans="1:15" ht="27.6">
      <c r="A113" s="114" t="s">
        <v>1886</v>
      </c>
      <c r="B113" s="106" t="s">
        <v>1882</v>
      </c>
      <c r="C113" s="33" t="s">
        <v>5</v>
      </c>
      <c r="D113" s="273" t="s">
        <v>1687</v>
      </c>
      <c r="E113" s="32" t="s">
        <v>559</v>
      </c>
      <c r="F113" s="32" t="s">
        <v>1887</v>
      </c>
      <c r="G113" s="34">
        <v>46163</v>
      </c>
      <c r="H113" s="34">
        <v>46195</v>
      </c>
      <c r="I113" s="32" t="s">
        <v>89</v>
      </c>
      <c r="J113" s="77" t="s">
        <v>645</v>
      </c>
      <c r="K113" s="301" t="s">
        <v>105</v>
      </c>
      <c r="L113" s="81">
        <v>4200</v>
      </c>
      <c r="M113" s="141">
        <v>0</v>
      </c>
      <c r="N113" s="223">
        <v>0</v>
      </c>
      <c r="O113" s="224">
        <f>IFERROR(SUM(L113+N113),"")</f>
        <v>4200</v>
      </c>
    </row>
    <row r="114" spans="1:15" ht="27.6">
      <c r="A114" s="114" t="s">
        <v>1888</v>
      </c>
      <c r="B114" s="106" t="s">
        <v>1882</v>
      </c>
      <c r="C114" s="33" t="s">
        <v>5</v>
      </c>
      <c r="D114" s="273" t="s">
        <v>1687</v>
      </c>
      <c r="E114" s="32" t="s">
        <v>559</v>
      </c>
      <c r="F114" s="32" t="s">
        <v>1889</v>
      </c>
      <c r="G114" s="34">
        <v>46164</v>
      </c>
      <c r="H114" s="34">
        <v>46196</v>
      </c>
      <c r="I114" s="32" t="s">
        <v>149</v>
      </c>
      <c r="J114" s="77" t="s">
        <v>66</v>
      </c>
      <c r="K114" s="301" t="s">
        <v>105</v>
      </c>
      <c r="L114" s="81">
        <v>4500</v>
      </c>
      <c r="M114" s="141">
        <v>0</v>
      </c>
      <c r="N114" s="223">
        <v>0</v>
      </c>
      <c r="O114" s="224">
        <f>IFERROR(SUM(L114+N114),"")</f>
        <v>4500</v>
      </c>
    </row>
    <row r="115" spans="1:15" ht="27.6">
      <c r="A115" s="114" t="s">
        <v>1890</v>
      </c>
      <c r="B115" s="106" t="s">
        <v>1882</v>
      </c>
      <c r="C115" s="33" t="s">
        <v>5</v>
      </c>
      <c r="D115" s="273" t="s">
        <v>1687</v>
      </c>
      <c r="E115" s="32" t="s">
        <v>559</v>
      </c>
      <c r="F115" s="32" t="s">
        <v>1891</v>
      </c>
      <c r="G115" s="34">
        <v>46177</v>
      </c>
      <c r="H115" s="34">
        <v>46198</v>
      </c>
      <c r="I115" s="32" t="s">
        <v>507</v>
      </c>
      <c r="J115" s="77" t="s">
        <v>66</v>
      </c>
      <c r="K115" s="301" t="s">
        <v>105</v>
      </c>
      <c r="L115" s="81">
        <v>6100</v>
      </c>
      <c r="M115" s="141">
        <v>0</v>
      </c>
      <c r="N115" s="223">
        <v>0</v>
      </c>
      <c r="O115" s="224">
        <f>IFERROR(SUM(L115+N115),"")</f>
        <v>6100</v>
      </c>
    </row>
    <row r="116" spans="1:15" ht="27.6">
      <c r="A116" s="114" t="s">
        <v>1892</v>
      </c>
      <c r="B116" s="106" t="s">
        <v>1882</v>
      </c>
      <c r="C116" s="33" t="s">
        <v>5</v>
      </c>
      <c r="D116" s="273" t="s">
        <v>1687</v>
      </c>
      <c r="E116" s="32" t="s">
        <v>559</v>
      </c>
      <c r="F116" s="32" t="s">
        <v>1893</v>
      </c>
      <c r="G116" s="34">
        <v>46168</v>
      </c>
      <c r="H116" s="34">
        <v>46210</v>
      </c>
      <c r="I116" s="32" t="s">
        <v>482</v>
      </c>
      <c r="J116" s="77" t="s">
        <v>66</v>
      </c>
      <c r="K116" s="301" t="s">
        <v>105</v>
      </c>
      <c r="L116" s="81">
        <v>4550</v>
      </c>
      <c r="M116" s="141">
        <v>0</v>
      </c>
      <c r="N116" s="223">
        <v>0</v>
      </c>
      <c r="O116" s="224">
        <f>IFERROR(SUM(L116+N116),"")</f>
        <v>4550</v>
      </c>
    </row>
    <row r="117" spans="1:15" ht="27.6">
      <c r="A117" s="114" t="s">
        <v>1894</v>
      </c>
      <c r="B117" s="106" t="s">
        <v>1882</v>
      </c>
      <c r="C117" s="33" t="s">
        <v>5</v>
      </c>
      <c r="D117" s="273" t="s">
        <v>1687</v>
      </c>
      <c r="E117" s="32" t="s">
        <v>559</v>
      </c>
      <c r="F117" s="32" t="s">
        <v>1895</v>
      </c>
      <c r="G117" s="34">
        <v>46173</v>
      </c>
      <c r="H117" s="34">
        <v>46206</v>
      </c>
      <c r="I117" s="32" t="s">
        <v>507</v>
      </c>
      <c r="J117" s="77" t="s">
        <v>648</v>
      </c>
      <c r="K117" s="301" t="s">
        <v>105</v>
      </c>
      <c r="L117" s="81">
        <v>6100</v>
      </c>
      <c r="M117" s="141">
        <v>0</v>
      </c>
      <c r="N117" s="223">
        <v>0</v>
      </c>
      <c r="O117" s="224">
        <f>IFERROR(SUM(L117+N117),"")</f>
        <v>6100</v>
      </c>
    </row>
    <row r="118" spans="1:15" ht="27.6">
      <c r="A118" s="114" t="s">
        <v>1896</v>
      </c>
      <c r="B118" s="106" t="s">
        <v>1882</v>
      </c>
      <c r="C118" s="33" t="s">
        <v>5</v>
      </c>
      <c r="D118" s="273" t="s">
        <v>1687</v>
      </c>
      <c r="E118" s="32" t="s">
        <v>559</v>
      </c>
      <c r="F118" s="32" t="s">
        <v>1897</v>
      </c>
      <c r="G118" s="34">
        <v>46194</v>
      </c>
      <c r="H118" s="34">
        <v>46222</v>
      </c>
      <c r="I118" s="32" t="s">
        <v>100</v>
      </c>
      <c r="J118" s="77" t="s">
        <v>66</v>
      </c>
      <c r="K118" s="301" t="s">
        <v>105</v>
      </c>
      <c r="L118" s="81">
        <v>6910</v>
      </c>
      <c r="M118" s="141">
        <v>0</v>
      </c>
      <c r="N118" s="223">
        <v>0</v>
      </c>
      <c r="O118" s="224">
        <f>IFERROR(SUM(L118+N118),"")</f>
        <v>6910</v>
      </c>
    </row>
    <row r="119" spans="1:15" ht="27.6">
      <c r="A119" s="114" t="s">
        <v>1898</v>
      </c>
      <c r="B119" s="106" t="s">
        <v>1882</v>
      </c>
      <c r="C119" s="33" t="s">
        <v>5</v>
      </c>
      <c r="D119" s="273" t="s">
        <v>1687</v>
      </c>
      <c r="E119" s="32" t="s">
        <v>559</v>
      </c>
      <c r="F119" s="32" t="s">
        <v>1899</v>
      </c>
      <c r="G119" s="34">
        <v>46194</v>
      </c>
      <c r="H119" s="34">
        <v>46222</v>
      </c>
      <c r="I119" s="32" t="s">
        <v>100</v>
      </c>
      <c r="J119" s="77" t="s">
        <v>66</v>
      </c>
      <c r="K119" s="301" t="s">
        <v>105</v>
      </c>
      <c r="L119" s="81">
        <v>6910</v>
      </c>
      <c r="M119" s="141">
        <v>0</v>
      </c>
      <c r="N119" s="223">
        <v>0</v>
      </c>
      <c r="O119" s="224">
        <f>IFERROR(SUM(L119+N119),"")</f>
        <v>6910</v>
      </c>
    </row>
    <row r="120" spans="1:15">
      <c r="A120" s="114" t="s">
        <v>1900</v>
      </c>
      <c r="B120" s="32" t="s">
        <v>1901</v>
      </c>
      <c r="C120" s="33" t="s">
        <v>1683</v>
      </c>
      <c r="D120" s="273" t="s">
        <v>1902</v>
      </c>
      <c r="E120" s="33" t="s">
        <v>559</v>
      </c>
      <c r="F120" s="32" t="s">
        <v>1903</v>
      </c>
      <c r="G120" s="34">
        <v>46049</v>
      </c>
      <c r="H120" s="34">
        <v>46085</v>
      </c>
      <c r="I120" s="32" t="s">
        <v>84</v>
      </c>
      <c r="J120" s="35" t="s">
        <v>85</v>
      </c>
      <c r="K120" s="301" t="s">
        <v>105</v>
      </c>
      <c r="L120" s="81">
        <v>1300</v>
      </c>
      <c r="M120" s="141">
        <v>0</v>
      </c>
      <c r="N120" s="141">
        <v>100</v>
      </c>
      <c r="O120" s="81">
        <f>SUM(L120:N120)</f>
        <v>1400</v>
      </c>
    </row>
    <row r="121" spans="1:15" ht="27.6">
      <c r="A121" s="114" t="s">
        <v>1904</v>
      </c>
      <c r="B121" s="32" t="s">
        <v>1901</v>
      </c>
      <c r="C121" s="33" t="s">
        <v>1683</v>
      </c>
      <c r="D121" s="273" t="s">
        <v>1647</v>
      </c>
      <c r="E121" s="33" t="s">
        <v>559</v>
      </c>
      <c r="F121" s="32" t="s">
        <v>1905</v>
      </c>
      <c r="G121" s="34">
        <v>46056</v>
      </c>
      <c r="H121" s="34">
        <v>46089</v>
      </c>
      <c r="I121" s="32" t="s">
        <v>100</v>
      </c>
      <c r="J121" s="35" t="s">
        <v>85</v>
      </c>
      <c r="K121" s="301" t="s">
        <v>122</v>
      </c>
      <c r="L121" s="81">
        <v>3750</v>
      </c>
      <c r="M121" s="141">
        <v>0</v>
      </c>
      <c r="N121" s="141">
        <v>0</v>
      </c>
      <c r="O121" s="81">
        <f>SUM(L121:N121)</f>
        <v>3750</v>
      </c>
    </row>
    <row r="122" spans="1:15">
      <c r="A122" s="114" t="s">
        <v>1906</v>
      </c>
      <c r="B122" s="106" t="s">
        <v>1901</v>
      </c>
      <c r="C122" s="33" t="s">
        <v>1683</v>
      </c>
      <c r="D122" s="273" t="s">
        <v>1650</v>
      </c>
      <c r="E122" s="32" t="s">
        <v>559</v>
      </c>
      <c r="F122" s="32" t="s">
        <v>1907</v>
      </c>
      <c r="G122" s="34">
        <v>46180</v>
      </c>
      <c r="H122" s="34">
        <v>46227</v>
      </c>
      <c r="I122" s="32" t="s">
        <v>100</v>
      </c>
      <c r="J122" s="77" t="s">
        <v>316</v>
      </c>
      <c r="K122" s="301" t="s">
        <v>122</v>
      </c>
      <c r="L122" s="81">
        <v>6750</v>
      </c>
      <c r="M122" s="141">
        <v>0</v>
      </c>
      <c r="N122" s="223">
        <v>0</v>
      </c>
      <c r="O122" s="224">
        <f>IFERROR(SUM(L122+N122),"")</f>
        <v>6750</v>
      </c>
    </row>
    <row r="123" spans="1:15">
      <c r="A123" s="114" t="s">
        <v>1908</v>
      </c>
      <c r="B123" s="106" t="s">
        <v>1646</v>
      </c>
      <c r="C123" s="33" t="s">
        <v>5</v>
      </c>
      <c r="D123" s="273" t="s">
        <v>1650</v>
      </c>
      <c r="E123" s="32" t="s">
        <v>559</v>
      </c>
      <c r="F123" s="32" t="s">
        <v>1909</v>
      </c>
      <c r="G123" s="34">
        <v>46189</v>
      </c>
      <c r="H123" s="34">
        <v>46209</v>
      </c>
      <c r="I123" s="32" t="s">
        <v>100</v>
      </c>
      <c r="J123" s="77" t="s">
        <v>85</v>
      </c>
      <c r="K123" s="301" t="s">
        <v>1370</v>
      </c>
      <c r="L123" s="81">
        <v>6880</v>
      </c>
      <c r="M123" s="141">
        <v>0</v>
      </c>
      <c r="N123" s="223">
        <v>0</v>
      </c>
      <c r="O123" s="224">
        <f>SUM(L123:N123)</f>
        <v>6880</v>
      </c>
    </row>
    <row r="124" spans="1:15">
      <c r="A124" s="114" t="s">
        <v>1910</v>
      </c>
      <c r="B124" s="106" t="s">
        <v>1646</v>
      </c>
      <c r="C124" s="33" t="s">
        <v>5</v>
      </c>
      <c r="D124" s="273" t="s">
        <v>1650</v>
      </c>
      <c r="E124" s="32" t="s">
        <v>559</v>
      </c>
      <c r="F124" s="32" t="s">
        <v>1911</v>
      </c>
      <c r="G124" s="34">
        <v>46192</v>
      </c>
      <c r="H124" s="34">
        <v>46211</v>
      </c>
      <c r="I124" s="32" t="s">
        <v>100</v>
      </c>
      <c r="J124" s="77" t="s">
        <v>621</v>
      </c>
      <c r="K124" s="301" t="s">
        <v>1364</v>
      </c>
      <c r="L124" s="81">
        <v>6850</v>
      </c>
      <c r="M124" s="141">
        <v>0</v>
      </c>
      <c r="N124" s="223">
        <v>0</v>
      </c>
      <c r="O124" s="224">
        <f>SUM(L124:N124)</f>
        <v>6850</v>
      </c>
    </row>
    <row r="125" spans="1:15" ht="15">
      <c r="A125" s="114" t="s">
        <v>1912</v>
      </c>
      <c r="B125" s="106" t="s">
        <v>1717</v>
      </c>
      <c r="C125" s="33" t="s">
        <v>1683</v>
      </c>
      <c r="D125" s="273" t="s">
        <v>1718</v>
      </c>
      <c r="E125" s="32" t="s">
        <v>559</v>
      </c>
      <c r="F125" s="32" t="s">
        <v>1913</v>
      </c>
      <c r="G125" s="34">
        <v>46195</v>
      </c>
      <c r="H125" s="34">
        <v>46221</v>
      </c>
      <c r="I125" s="32" t="s">
        <v>89</v>
      </c>
      <c r="J125" s="77" t="s">
        <v>66</v>
      </c>
      <c r="K125" s="301" t="s">
        <v>105</v>
      </c>
      <c r="L125" s="81">
        <v>6800</v>
      </c>
      <c r="M125" s="141">
        <v>0</v>
      </c>
      <c r="N125" s="223">
        <v>100</v>
      </c>
      <c r="O125" s="224">
        <f>SUM(L125:N125)</f>
        <v>6900</v>
      </c>
    </row>
    <row r="126" spans="1:15" ht="15">
      <c r="A126" s="114" t="s">
        <v>1914</v>
      </c>
      <c r="B126" s="106" t="s">
        <v>1717</v>
      </c>
      <c r="C126" s="33" t="s">
        <v>1683</v>
      </c>
      <c r="D126" s="273" t="s">
        <v>1718</v>
      </c>
      <c r="E126" s="32" t="s">
        <v>559</v>
      </c>
      <c r="F126" s="32" t="s">
        <v>1915</v>
      </c>
      <c r="G126" s="34">
        <v>46195</v>
      </c>
      <c r="H126" s="34">
        <v>46221</v>
      </c>
      <c r="I126" s="32" t="s">
        <v>89</v>
      </c>
      <c r="J126" s="77" t="s">
        <v>66</v>
      </c>
      <c r="K126" s="301" t="s">
        <v>105</v>
      </c>
      <c r="L126" s="81">
        <v>6800</v>
      </c>
      <c r="M126" s="141">
        <v>0</v>
      </c>
      <c r="N126" s="223">
        <v>100</v>
      </c>
      <c r="O126" s="224">
        <f>SUM(L126:N126)</f>
        <v>6900</v>
      </c>
    </row>
    <row r="127" spans="1:15">
      <c r="A127" s="114" t="s">
        <v>1916</v>
      </c>
      <c r="B127" s="106" t="s">
        <v>1917</v>
      </c>
      <c r="C127" s="33" t="s">
        <v>5</v>
      </c>
      <c r="D127" s="273" t="s">
        <v>1650</v>
      </c>
      <c r="E127" s="32" t="s">
        <v>559</v>
      </c>
      <c r="F127" s="32" t="s">
        <v>1918</v>
      </c>
      <c r="G127" s="34">
        <v>46192</v>
      </c>
      <c r="H127" s="34">
        <v>46211</v>
      </c>
      <c r="I127" s="32" t="s">
        <v>100</v>
      </c>
      <c r="J127" s="77" t="s">
        <v>621</v>
      </c>
      <c r="K127" s="301" t="s">
        <v>1364</v>
      </c>
      <c r="L127" s="81">
        <v>6850</v>
      </c>
      <c r="M127" s="141">
        <v>0</v>
      </c>
      <c r="N127" s="223">
        <v>180</v>
      </c>
      <c r="O127" s="224">
        <f>SUM(L127:N127)</f>
        <v>7030</v>
      </c>
    </row>
    <row r="128" spans="1:15">
      <c r="A128" s="114" t="s">
        <v>1919</v>
      </c>
      <c r="B128" s="106" t="s">
        <v>1827</v>
      </c>
      <c r="C128" s="33" t="s">
        <v>5</v>
      </c>
      <c r="D128" s="273" t="s">
        <v>1650</v>
      </c>
      <c r="E128" s="32" t="s">
        <v>559</v>
      </c>
      <c r="F128" s="32" t="s">
        <v>1920</v>
      </c>
      <c r="G128" s="34">
        <v>46192</v>
      </c>
      <c r="H128" s="34">
        <v>46211</v>
      </c>
      <c r="I128" s="32" t="s">
        <v>100</v>
      </c>
      <c r="J128" s="77" t="s">
        <v>621</v>
      </c>
      <c r="K128" s="301" t="s">
        <v>1364</v>
      </c>
      <c r="L128" s="81">
        <v>6850</v>
      </c>
      <c r="M128" s="141">
        <v>0</v>
      </c>
      <c r="N128" s="223">
        <v>180</v>
      </c>
      <c r="O128" s="224">
        <f>SUM(L128:N128)</f>
        <v>7030</v>
      </c>
    </row>
    <row r="129" spans="1:19" ht="13.5" customHeight="1">
      <c r="A129" s="114" t="s">
        <v>1921</v>
      </c>
      <c r="B129" s="106" t="s">
        <v>1827</v>
      </c>
      <c r="C129" s="33" t="s">
        <v>5</v>
      </c>
      <c r="D129" s="273" t="s">
        <v>1650</v>
      </c>
      <c r="E129" s="32" t="s">
        <v>559</v>
      </c>
      <c r="F129" s="32" t="s">
        <v>1922</v>
      </c>
      <c r="G129" s="34">
        <v>46192</v>
      </c>
      <c r="H129" s="34">
        <v>46211</v>
      </c>
      <c r="I129" s="32" t="s">
        <v>100</v>
      </c>
      <c r="J129" s="77" t="s">
        <v>621</v>
      </c>
      <c r="K129" s="301" t="s">
        <v>1364</v>
      </c>
      <c r="L129" s="81">
        <v>6850</v>
      </c>
      <c r="M129" s="141">
        <v>0</v>
      </c>
      <c r="N129" s="223">
        <v>180</v>
      </c>
      <c r="O129" s="224">
        <f>SUM(L129:N129)</f>
        <v>7030</v>
      </c>
    </row>
    <row r="130" spans="1:19" ht="13.5" customHeight="1">
      <c r="A130" s="114" t="s">
        <v>1923</v>
      </c>
      <c r="B130" s="106" t="s">
        <v>1827</v>
      </c>
      <c r="C130" s="33" t="s">
        <v>5</v>
      </c>
      <c r="D130" s="273" t="s">
        <v>1650</v>
      </c>
      <c r="E130" s="32" t="s">
        <v>559</v>
      </c>
      <c r="F130" s="32" t="s">
        <v>1924</v>
      </c>
      <c r="G130" s="34">
        <v>46192</v>
      </c>
      <c r="H130" s="34">
        <v>46211</v>
      </c>
      <c r="I130" s="32" t="s">
        <v>100</v>
      </c>
      <c r="J130" s="77" t="s">
        <v>621</v>
      </c>
      <c r="K130" s="301" t="s">
        <v>1364</v>
      </c>
      <c r="L130" s="81">
        <v>6850</v>
      </c>
      <c r="M130" s="141">
        <v>0</v>
      </c>
      <c r="N130" s="223">
        <v>180</v>
      </c>
      <c r="O130" s="224">
        <f>SUM(L130:N130)</f>
        <v>7030</v>
      </c>
    </row>
    <row r="131" spans="1:19">
      <c r="A131" s="114" t="s">
        <v>1925</v>
      </c>
      <c r="B131" s="106" t="s">
        <v>1854</v>
      </c>
      <c r="C131" s="33" t="s">
        <v>5</v>
      </c>
      <c r="D131" s="273" t="s">
        <v>1650</v>
      </c>
      <c r="E131" s="32" t="s">
        <v>559</v>
      </c>
      <c r="F131" s="32" t="s">
        <v>1926</v>
      </c>
      <c r="G131" s="34">
        <v>46198</v>
      </c>
      <c r="H131" s="34">
        <v>0</v>
      </c>
      <c r="I131" s="32" t="s">
        <v>100</v>
      </c>
      <c r="J131" s="77" t="s">
        <v>85</v>
      </c>
      <c r="K131" s="301" t="s">
        <v>1364</v>
      </c>
      <c r="L131" s="81">
        <v>6880</v>
      </c>
      <c r="M131" s="141">
        <v>0</v>
      </c>
      <c r="N131" s="223">
        <v>0</v>
      </c>
      <c r="O131" s="224">
        <f>SUM(L131:N131)</f>
        <v>6880</v>
      </c>
      <c r="R131" s="391" t="s">
        <v>1927</v>
      </c>
      <c r="S131" s="391" t="s">
        <v>1928</v>
      </c>
    </row>
    <row r="132" spans="1:19">
      <c r="A132" s="114" t="s">
        <v>1929</v>
      </c>
      <c r="B132" s="106" t="s">
        <v>1710</v>
      </c>
      <c r="C132" s="33" t="s">
        <v>1683</v>
      </c>
      <c r="D132" s="273" t="s">
        <v>1650</v>
      </c>
      <c r="E132" s="32" t="s">
        <v>559</v>
      </c>
      <c r="F132" s="32" t="s">
        <v>1930</v>
      </c>
      <c r="G132" s="34">
        <v>46191</v>
      </c>
      <c r="H132" s="34">
        <v>46211</v>
      </c>
      <c r="I132" s="32" t="s">
        <v>507</v>
      </c>
      <c r="J132" s="77" t="s">
        <v>66</v>
      </c>
      <c r="K132" s="301" t="s">
        <v>105</v>
      </c>
      <c r="L132" s="81">
        <v>7100</v>
      </c>
      <c r="M132" s="141">
        <v>0</v>
      </c>
      <c r="N132" s="223">
        <v>100</v>
      </c>
      <c r="O132" s="224">
        <f>SUM(L132:N132)</f>
        <v>7200</v>
      </c>
      <c r="Q132" s="192" t="s">
        <v>1923</v>
      </c>
      <c r="R132" s="390">
        <v>6850</v>
      </c>
      <c r="S132" s="390">
        <v>7000</v>
      </c>
    </row>
    <row r="133" spans="1:19" ht="27.6">
      <c r="A133" s="114" t="s">
        <v>1931</v>
      </c>
      <c r="B133" s="106" t="s">
        <v>1882</v>
      </c>
      <c r="C133" s="33" t="s">
        <v>5</v>
      </c>
      <c r="D133" s="273" t="s">
        <v>1687</v>
      </c>
      <c r="E133" s="32" t="s">
        <v>559</v>
      </c>
      <c r="F133" s="32" t="s">
        <v>1932</v>
      </c>
      <c r="G133" s="34">
        <v>46194</v>
      </c>
      <c r="H133" s="34">
        <v>46218</v>
      </c>
      <c r="I133" s="32" t="s">
        <v>507</v>
      </c>
      <c r="J133" s="77" t="s">
        <v>240</v>
      </c>
      <c r="K133" s="301" t="s">
        <v>105</v>
      </c>
      <c r="L133" s="81">
        <v>7100</v>
      </c>
      <c r="M133" s="141">
        <v>0</v>
      </c>
      <c r="N133" s="223">
        <v>0</v>
      </c>
      <c r="O133" s="224">
        <f>SUM(L133:N133)</f>
        <v>7100</v>
      </c>
      <c r="Q133" s="192" t="s">
        <v>1933</v>
      </c>
      <c r="R133" s="390">
        <v>7800</v>
      </c>
      <c r="S133" s="390">
        <v>8090</v>
      </c>
    </row>
    <row r="134" spans="1:19" ht="15">
      <c r="A134" s="114" t="s">
        <v>1934</v>
      </c>
      <c r="B134" s="106" t="s">
        <v>1717</v>
      </c>
      <c r="C134" s="33" t="s">
        <v>1683</v>
      </c>
      <c r="D134" s="273" t="s">
        <v>1718</v>
      </c>
      <c r="E134" s="32" t="s">
        <v>559</v>
      </c>
      <c r="F134" s="32" t="s">
        <v>1935</v>
      </c>
      <c r="G134" s="34">
        <v>46195</v>
      </c>
      <c r="H134" s="34">
        <v>46221</v>
      </c>
      <c r="I134" s="32" t="s">
        <v>89</v>
      </c>
      <c r="J134" s="77" t="s">
        <v>66</v>
      </c>
      <c r="K134" s="301" t="s">
        <v>105</v>
      </c>
      <c r="L134" s="81">
        <v>6800</v>
      </c>
      <c r="M134" s="141">
        <v>0</v>
      </c>
      <c r="N134" s="223">
        <v>100</v>
      </c>
      <c r="O134" s="224">
        <f>SUM(L134:N134)</f>
        <v>6900</v>
      </c>
    </row>
    <row r="135" spans="1:19" ht="15">
      <c r="A135" s="114" t="s">
        <v>1936</v>
      </c>
      <c r="B135" s="106" t="s">
        <v>1717</v>
      </c>
      <c r="C135" s="33" t="s">
        <v>1683</v>
      </c>
      <c r="D135" s="303" t="s">
        <v>1718</v>
      </c>
      <c r="E135" s="15" t="s">
        <v>559</v>
      </c>
      <c r="F135" s="15" t="s">
        <v>1937</v>
      </c>
      <c r="G135" s="17">
        <v>46189</v>
      </c>
      <c r="H135" s="34">
        <v>46217</v>
      </c>
      <c r="I135" s="32" t="s">
        <v>100</v>
      </c>
      <c r="J135" s="77" t="s">
        <v>66</v>
      </c>
      <c r="K135" s="68" t="s">
        <v>105</v>
      </c>
      <c r="L135" s="81">
        <v>6750</v>
      </c>
      <c r="M135" s="141">
        <v>0</v>
      </c>
      <c r="N135" s="141">
        <v>100</v>
      </c>
      <c r="O135" s="224">
        <f>IFERROR(SUM(L135+N135),"")</f>
        <v>6850</v>
      </c>
    </row>
    <row r="136" spans="1:19" ht="15">
      <c r="A136" s="114" t="s">
        <v>1938</v>
      </c>
      <c r="B136" s="106" t="s">
        <v>1717</v>
      </c>
      <c r="C136" s="33" t="s">
        <v>1683</v>
      </c>
      <c r="D136" s="273" t="s">
        <v>1718</v>
      </c>
      <c r="E136" s="32" t="s">
        <v>559</v>
      </c>
      <c r="F136" s="32" t="s">
        <v>1939</v>
      </c>
      <c r="G136" s="34">
        <v>46198</v>
      </c>
      <c r="H136" s="34">
        <v>46218</v>
      </c>
      <c r="I136" s="32" t="s">
        <v>507</v>
      </c>
      <c r="J136" s="77" t="s">
        <v>66</v>
      </c>
      <c r="K136" s="301" t="s">
        <v>105</v>
      </c>
      <c r="L136" s="81">
        <v>6900</v>
      </c>
      <c r="M136" s="141">
        <v>0</v>
      </c>
      <c r="N136" s="223">
        <v>100</v>
      </c>
      <c r="O136" s="224">
        <f>SUM(L136:N136)</f>
        <v>7000</v>
      </c>
    </row>
    <row r="137" spans="1:19" ht="15">
      <c r="A137" s="114" t="s">
        <v>1940</v>
      </c>
      <c r="B137" s="106" t="s">
        <v>1717</v>
      </c>
      <c r="C137" s="33" t="s">
        <v>1683</v>
      </c>
      <c r="D137" s="273" t="s">
        <v>1718</v>
      </c>
      <c r="E137" s="32" t="s">
        <v>559</v>
      </c>
      <c r="F137" s="32" t="s">
        <v>1941</v>
      </c>
      <c r="G137" s="34">
        <v>46198</v>
      </c>
      <c r="H137" s="34">
        <v>46218</v>
      </c>
      <c r="I137" s="32" t="s">
        <v>507</v>
      </c>
      <c r="J137" s="77" t="s">
        <v>66</v>
      </c>
      <c r="K137" s="301" t="s">
        <v>105</v>
      </c>
      <c r="L137" s="81">
        <v>6900</v>
      </c>
      <c r="M137" s="141">
        <v>0</v>
      </c>
      <c r="N137" s="223">
        <v>100</v>
      </c>
      <c r="O137" s="224">
        <f>SUM(L137:N137)</f>
        <v>7000</v>
      </c>
    </row>
    <row r="138" spans="1:19" ht="15">
      <c r="A138" s="114" t="s">
        <v>1942</v>
      </c>
      <c r="B138" s="106" t="s">
        <v>1717</v>
      </c>
      <c r="C138" s="33" t="s">
        <v>1683</v>
      </c>
      <c r="D138" s="273" t="s">
        <v>1718</v>
      </c>
      <c r="E138" s="32" t="s">
        <v>559</v>
      </c>
      <c r="F138" s="32" t="s">
        <v>1943</v>
      </c>
      <c r="G138" s="34">
        <v>46203</v>
      </c>
      <c r="H138" s="34">
        <v>46231</v>
      </c>
      <c r="I138" s="32" t="s">
        <v>482</v>
      </c>
      <c r="J138" s="77" t="s">
        <v>66</v>
      </c>
      <c r="K138" s="301" t="s">
        <v>105</v>
      </c>
      <c r="L138" s="81">
        <v>6950</v>
      </c>
      <c r="M138" s="141">
        <v>0</v>
      </c>
      <c r="N138" s="223">
        <v>100</v>
      </c>
      <c r="O138" s="224">
        <f>SUM(L138:N138)</f>
        <v>7050</v>
      </c>
    </row>
    <row r="139" spans="1:19" ht="15">
      <c r="A139" s="114" t="s">
        <v>1944</v>
      </c>
      <c r="B139" s="106" t="s">
        <v>1717</v>
      </c>
      <c r="C139" s="33" t="s">
        <v>1683</v>
      </c>
      <c r="D139" s="273" t="s">
        <v>1718</v>
      </c>
      <c r="E139" s="32" t="s">
        <v>559</v>
      </c>
      <c r="F139" s="32" t="s">
        <v>1945</v>
      </c>
      <c r="G139" s="34">
        <v>46203</v>
      </c>
      <c r="H139" s="34">
        <v>46231</v>
      </c>
      <c r="I139" s="32" t="s">
        <v>482</v>
      </c>
      <c r="J139" s="77" t="s">
        <v>66</v>
      </c>
      <c r="K139" s="301" t="s">
        <v>105</v>
      </c>
      <c r="L139" s="81">
        <v>6950</v>
      </c>
      <c r="M139" s="141">
        <v>0</v>
      </c>
      <c r="N139" s="223">
        <v>100</v>
      </c>
      <c r="O139" s="224">
        <f>SUM(L139:N139)</f>
        <v>7050</v>
      </c>
    </row>
    <row r="140" spans="1:19" ht="15">
      <c r="A140" s="114" t="s">
        <v>1946</v>
      </c>
      <c r="B140" s="106" t="s">
        <v>1717</v>
      </c>
      <c r="C140" s="33" t="s">
        <v>1683</v>
      </c>
      <c r="D140" s="303" t="s">
        <v>1718</v>
      </c>
      <c r="E140" s="15" t="s">
        <v>559</v>
      </c>
      <c r="F140" s="15" t="s">
        <v>1947</v>
      </c>
      <c r="G140" s="17">
        <v>46194</v>
      </c>
      <c r="H140" s="34">
        <v>46224</v>
      </c>
      <c r="I140" s="32" t="s">
        <v>482</v>
      </c>
      <c r="J140" s="77" t="s">
        <v>66</v>
      </c>
      <c r="K140" s="68" t="s">
        <v>105</v>
      </c>
      <c r="L140" s="81">
        <v>6950</v>
      </c>
      <c r="M140" s="141">
        <v>0</v>
      </c>
      <c r="N140" s="141">
        <v>100</v>
      </c>
      <c r="O140" s="224">
        <f>IFERROR(SUM(L140+N140),"")</f>
        <v>7050</v>
      </c>
    </row>
    <row r="141" spans="1:19" ht="15">
      <c r="A141" s="114" t="s">
        <v>1948</v>
      </c>
      <c r="B141" s="106" t="s">
        <v>1717</v>
      </c>
      <c r="C141" s="33" t="s">
        <v>1683</v>
      </c>
      <c r="D141" s="303" t="s">
        <v>1718</v>
      </c>
      <c r="E141" s="15" t="s">
        <v>559</v>
      </c>
      <c r="F141" s="15" t="s">
        <v>1949</v>
      </c>
      <c r="G141" s="17">
        <v>46194</v>
      </c>
      <c r="H141" s="34">
        <v>46224</v>
      </c>
      <c r="I141" s="32" t="s">
        <v>482</v>
      </c>
      <c r="J141" s="77" t="s">
        <v>66</v>
      </c>
      <c r="K141" s="68" t="s">
        <v>105</v>
      </c>
      <c r="L141" s="81">
        <v>6950</v>
      </c>
      <c r="M141" s="141">
        <v>0</v>
      </c>
      <c r="N141" s="141">
        <v>100</v>
      </c>
      <c r="O141" s="224">
        <f>IFERROR(SUM(L141+N141),"")</f>
        <v>7050</v>
      </c>
    </row>
    <row r="142" spans="1:19">
      <c r="A142" s="114" t="s">
        <v>1950</v>
      </c>
      <c r="B142" s="106" t="s">
        <v>1717</v>
      </c>
      <c r="C142" s="33" t="s">
        <v>1683</v>
      </c>
      <c r="D142" s="273" t="s">
        <v>1718</v>
      </c>
      <c r="E142" s="32" t="s">
        <v>559</v>
      </c>
      <c r="F142" s="32" t="s">
        <v>1951</v>
      </c>
      <c r="G142" s="34">
        <v>46203</v>
      </c>
      <c r="H142" s="34">
        <v>46234</v>
      </c>
      <c r="I142" s="32" t="s">
        <v>89</v>
      </c>
      <c r="J142" s="77" t="s">
        <v>66</v>
      </c>
      <c r="K142" s="301" t="s">
        <v>105</v>
      </c>
      <c r="L142" s="81">
        <v>6800</v>
      </c>
      <c r="M142" s="141">
        <v>0</v>
      </c>
      <c r="N142" s="223">
        <v>100</v>
      </c>
      <c r="O142" s="224">
        <f>SUM(L142:N142)</f>
        <v>6900</v>
      </c>
    </row>
    <row r="143" spans="1:19">
      <c r="A143" s="114" t="s">
        <v>1952</v>
      </c>
      <c r="B143" s="106" t="s">
        <v>1717</v>
      </c>
      <c r="C143" s="33" t="s">
        <v>1683</v>
      </c>
      <c r="D143" s="273" t="s">
        <v>1718</v>
      </c>
      <c r="E143" s="32" t="s">
        <v>559</v>
      </c>
      <c r="F143" s="32" t="s">
        <v>1953</v>
      </c>
      <c r="G143" s="34">
        <v>46203</v>
      </c>
      <c r="H143" s="34">
        <v>46234</v>
      </c>
      <c r="I143" s="32" t="s">
        <v>89</v>
      </c>
      <c r="J143" s="77" t="s">
        <v>66</v>
      </c>
      <c r="K143" s="301" t="s">
        <v>105</v>
      </c>
      <c r="L143" s="81">
        <v>6800</v>
      </c>
      <c r="M143" s="141">
        <v>0</v>
      </c>
      <c r="N143" s="223">
        <v>100</v>
      </c>
      <c r="O143" s="224">
        <f>SUM(L143:N143)</f>
        <v>6900</v>
      </c>
    </row>
    <row r="144" spans="1:19">
      <c r="A144" s="114" t="s">
        <v>1954</v>
      </c>
      <c r="B144" s="106" t="s">
        <v>1717</v>
      </c>
      <c r="C144" s="33" t="s">
        <v>1683</v>
      </c>
      <c r="D144" s="273" t="s">
        <v>1718</v>
      </c>
      <c r="E144" s="32" t="s">
        <v>559</v>
      </c>
      <c r="F144" s="32" t="s">
        <v>1955</v>
      </c>
      <c r="G144" s="34">
        <v>46203</v>
      </c>
      <c r="H144" s="34">
        <v>46234</v>
      </c>
      <c r="I144" s="32" t="s">
        <v>89</v>
      </c>
      <c r="J144" s="77" t="s">
        <v>66</v>
      </c>
      <c r="K144" s="301" t="s">
        <v>105</v>
      </c>
      <c r="L144" s="81">
        <v>6800</v>
      </c>
      <c r="M144" s="141">
        <v>0</v>
      </c>
      <c r="N144" s="223">
        <v>100</v>
      </c>
      <c r="O144" s="224">
        <f>SUM(L144:N144)</f>
        <v>6900</v>
      </c>
    </row>
    <row r="145" spans="1:15">
      <c r="A145" s="114" t="s">
        <v>1956</v>
      </c>
      <c r="B145" s="106" t="s">
        <v>1717</v>
      </c>
      <c r="C145" s="33" t="s">
        <v>1683</v>
      </c>
      <c r="D145" s="273" t="s">
        <v>1718</v>
      </c>
      <c r="E145" s="32" t="s">
        <v>559</v>
      </c>
      <c r="F145" s="32" t="s">
        <v>1957</v>
      </c>
      <c r="G145" s="34">
        <v>46203</v>
      </c>
      <c r="H145" s="34">
        <v>46233</v>
      </c>
      <c r="I145" s="32" t="s">
        <v>482</v>
      </c>
      <c r="J145" s="77" t="s">
        <v>66</v>
      </c>
      <c r="K145" s="301" t="s">
        <v>105</v>
      </c>
      <c r="L145" s="81">
        <v>6950</v>
      </c>
      <c r="M145" s="141">
        <v>0</v>
      </c>
      <c r="N145" s="223">
        <v>100</v>
      </c>
      <c r="O145" s="224">
        <f>SUM(L145:N145)</f>
        <v>7050</v>
      </c>
    </row>
    <row r="146" spans="1:15">
      <c r="A146" s="114" t="s">
        <v>1958</v>
      </c>
      <c r="B146" s="106" t="s">
        <v>1717</v>
      </c>
      <c r="C146" s="33" t="s">
        <v>1683</v>
      </c>
      <c r="D146" s="273" t="s">
        <v>1718</v>
      </c>
      <c r="E146" s="32" t="s">
        <v>559</v>
      </c>
      <c r="F146" s="32" t="s">
        <v>1959</v>
      </c>
      <c r="G146" s="34">
        <v>46203</v>
      </c>
      <c r="H146" s="34">
        <v>46233</v>
      </c>
      <c r="I146" s="32" t="s">
        <v>482</v>
      </c>
      <c r="J146" s="77" t="s">
        <v>66</v>
      </c>
      <c r="K146" s="301" t="s">
        <v>105</v>
      </c>
      <c r="L146" s="81">
        <v>6950</v>
      </c>
      <c r="M146" s="141">
        <v>0</v>
      </c>
      <c r="N146" s="223">
        <v>100</v>
      </c>
      <c r="O146" s="224">
        <f>SUM(L146:N146)</f>
        <v>7050</v>
      </c>
    </row>
    <row r="147" spans="1:15">
      <c r="A147" s="114" t="s">
        <v>1960</v>
      </c>
      <c r="B147" s="106" t="s">
        <v>1827</v>
      </c>
      <c r="C147" s="33" t="s">
        <v>5</v>
      </c>
      <c r="D147" s="273" t="s">
        <v>1650</v>
      </c>
      <c r="E147" s="32" t="s">
        <v>559</v>
      </c>
      <c r="F147" s="32" t="s">
        <v>1961</v>
      </c>
      <c r="G147" s="34">
        <v>46199</v>
      </c>
      <c r="H147" s="34">
        <v>46217</v>
      </c>
      <c r="I147" s="32" t="s">
        <v>100</v>
      </c>
      <c r="J147" s="77" t="s">
        <v>621</v>
      </c>
      <c r="K147" s="301" t="s">
        <v>1364</v>
      </c>
      <c r="L147" s="81">
        <v>6850</v>
      </c>
      <c r="M147" s="141">
        <v>0</v>
      </c>
      <c r="N147" s="223">
        <v>180</v>
      </c>
      <c r="O147" s="224">
        <f>SUM(L147:N147)</f>
        <v>7030</v>
      </c>
    </row>
    <row r="148" spans="1:15">
      <c r="A148" s="114" t="s">
        <v>1962</v>
      </c>
      <c r="B148" s="106" t="s">
        <v>1854</v>
      </c>
      <c r="C148" s="33" t="s">
        <v>5</v>
      </c>
      <c r="D148" s="273" t="s">
        <v>1650</v>
      </c>
      <c r="E148" s="32" t="s">
        <v>559</v>
      </c>
      <c r="F148" s="32" t="s">
        <v>1963</v>
      </c>
      <c r="G148" s="34">
        <v>46189</v>
      </c>
      <c r="H148" s="34">
        <v>46211</v>
      </c>
      <c r="I148" s="32" t="s">
        <v>507</v>
      </c>
      <c r="J148" s="77" t="s">
        <v>66</v>
      </c>
      <c r="K148" s="301" t="s">
        <v>1364</v>
      </c>
      <c r="L148" s="81">
        <v>6900</v>
      </c>
      <c r="M148" s="141">
        <v>0</v>
      </c>
      <c r="N148" s="223">
        <v>0</v>
      </c>
      <c r="O148" s="224">
        <f>SUM(L148:N148)</f>
        <v>6900</v>
      </c>
    </row>
    <row r="149" spans="1:15">
      <c r="A149" s="114" t="s">
        <v>1964</v>
      </c>
      <c r="B149" s="106" t="s">
        <v>1710</v>
      </c>
      <c r="C149" s="33" t="s">
        <v>1683</v>
      </c>
      <c r="D149" s="273" t="s">
        <v>1650</v>
      </c>
      <c r="E149" s="32" t="s">
        <v>559</v>
      </c>
      <c r="F149" s="32" t="s">
        <v>1965</v>
      </c>
      <c r="G149" s="34">
        <v>46205</v>
      </c>
      <c r="H149" s="34">
        <v>46229</v>
      </c>
      <c r="I149" s="32" t="s">
        <v>507</v>
      </c>
      <c r="J149" s="77" t="s">
        <v>66</v>
      </c>
      <c r="K149" s="301" t="s">
        <v>105</v>
      </c>
      <c r="L149" s="81">
        <v>6300</v>
      </c>
      <c r="M149" s="141">
        <v>0</v>
      </c>
      <c r="N149" s="223">
        <v>100</v>
      </c>
      <c r="O149" s="224">
        <f>SUM(L149:N149)</f>
        <v>6400</v>
      </c>
    </row>
    <row r="150" spans="1:15" ht="27.6">
      <c r="A150" s="114" t="s">
        <v>1966</v>
      </c>
      <c r="B150" s="106" t="s">
        <v>1882</v>
      </c>
      <c r="C150" s="33" t="s">
        <v>5</v>
      </c>
      <c r="D150" s="273" t="s">
        <v>1687</v>
      </c>
      <c r="E150" s="32" t="s">
        <v>559</v>
      </c>
      <c r="F150" s="32" t="s">
        <v>1967</v>
      </c>
      <c r="G150" s="34">
        <v>46203</v>
      </c>
      <c r="H150" s="34">
        <v>46234</v>
      </c>
      <c r="I150" s="32" t="s">
        <v>89</v>
      </c>
      <c r="J150" s="77" t="s">
        <v>66</v>
      </c>
      <c r="K150" s="301" t="s">
        <v>105</v>
      </c>
      <c r="L150" s="81">
        <v>6800</v>
      </c>
      <c r="M150" s="141">
        <v>0</v>
      </c>
      <c r="N150" s="166">
        <v>0</v>
      </c>
      <c r="O150" s="224">
        <f>SUM(L150:N150)</f>
        <v>6800</v>
      </c>
    </row>
    <row r="151" spans="1:15" ht="27.6">
      <c r="A151" s="114" t="s">
        <v>1968</v>
      </c>
      <c r="B151" s="106" t="s">
        <v>1882</v>
      </c>
      <c r="C151" s="33" t="s">
        <v>5</v>
      </c>
      <c r="D151" s="273" t="s">
        <v>1687</v>
      </c>
      <c r="E151" s="32" t="s">
        <v>559</v>
      </c>
      <c r="F151" s="32" t="s">
        <v>1969</v>
      </c>
      <c r="G151" s="34">
        <v>46199</v>
      </c>
      <c r="H151" s="34">
        <v>46231</v>
      </c>
      <c r="I151" s="32" t="s">
        <v>89</v>
      </c>
      <c r="J151" s="77" t="s">
        <v>240</v>
      </c>
      <c r="K151" s="301" t="s">
        <v>105</v>
      </c>
      <c r="L151" s="81">
        <v>6800</v>
      </c>
      <c r="M151" s="141">
        <v>0</v>
      </c>
      <c r="N151" s="166">
        <v>0</v>
      </c>
      <c r="O151" s="224">
        <f>SUM(L151:N151)</f>
        <v>6800</v>
      </c>
    </row>
    <row r="152" spans="1:15" ht="27.6">
      <c r="A152" s="114" t="s">
        <v>1970</v>
      </c>
      <c r="B152" s="106" t="s">
        <v>1882</v>
      </c>
      <c r="C152" s="33" t="s">
        <v>5</v>
      </c>
      <c r="D152" s="273" t="s">
        <v>1687</v>
      </c>
      <c r="E152" s="32" t="s">
        <v>559</v>
      </c>
      <c r="F152" s="32" t="s">
        <v>1971</v>
      </c>
      <c r="G152" s="34">
        <v>46205</v>
      </c>
      <c r="H152" s="34">
        <v>46228</v>
      </c>
      <c r="I152" s="32" t="s">
        <v>84</v>
      </c>
      <c r="J152" s="77" t="s">
        <v>645</v>
      </c>
      <c r="K152" s="301" t="s">
        <v>105</v>
      </c>
      <c r="L152" s="81">
        <v>6750</v>
      </c>
      <c r="M152" s="141">
        <v>0</v>
      </c>
      <c r="N152" s="166">
        <v>0</v>
      </c>
      <c r="O152" s="224">
        <f>SUM(L152:N152)</f>
        <v>6750</v>
      </c>
    </row>
    <row r="153" spans="1:15" ht="27.6">
      <c r="A153" s="114" t="s">
        <v>1972</v>
      </c>
      <c r="B153" s="106" t="s">
        <v>1882</v>
      </c>
      <c r="C153" s="33" t="s">
        <v>5</v>
      </c>
      <c r="D153" s="273" t="s">
        <v>1687</v>
      </c>
      <c r="E153" s="32" t="s">
        <v>559</v>
      </c>
      <c r="F153" s="32" t="s">
        <v>1973</v>
      </c>
      <c r="G153" s="34">
        <v>46203</v>
      </c>
      <c r="H153" s="34">
        <v>46231</v>
      </c>
      <c r="I153" s="32" t="s">
        <v>482</v>
      </c>
      <c r="J153" s="77" t="s">
        <v>66</v>
      </c>
      <c r="K153" s="301" t="s">
        <v>105</v>
      </c>
      <c r="L153" s="81">
        <v>6900</v>
      </c>
      <c r="M153" s="141">
        <v>0</v>
      </c>
      <c r="N153" s="166">
        <v>0</v>
      </c>
      <c r="O153" s="224">
        <f>SUM(L153:N153)</f>
        <v>6900</v>
      </c>
    </row>
    <row r="154" spans="1:15">
      <c r="A154" s="114" t="s">
        <v>1974</v>
      </c>
      <c r="B154" s="106" t="s">
        <v>1646</v>
      </c>
      <c r="C154" s="33" t="s">
        <v>5</v>
      </c>
      <c r="D154" s="273" t="s">
        <v>1650</v>
      </c>
      <c r="E154" s="32" t="s">
        <v>559</v>
      </c>
      <c r="F154" s="32" t="s">
        <v>1975</v>
      </c>
      <c r="G154" s="34">
        <v>46202</v>
      </c>
      <c r="H154" s="34">
        <v>46222</v>
      </c>
      <c r="I154" s="32" t="s">
        <v>100</v>
      </c>
      <c r="J154" s="77" t="s">
        <v>85</v>
      </c>
      <c r="K154" s="301" t="s">
        <v>1370</v>
      </c>
      <c r="L154" s="81">
        <v>7900</v>
      </c>
      <c r="M154" s="141">
        <v>0</v>
      </c>
      <c r="N154" s="166">
        <v>0</v>
      </c>
      <c r="O154" s="224">
        <f>SUM(L154:N154)</f>
        <v>7900</v>
      </c>
    </row>
    <row r="155" spans="1:15" ht="27.6">
      <c r="A155" s="114" t="s">
        <v>1976</v>
      </c>
      <c r="B155" s="106" t="s">
        <v>1673</v>
      </c>
      <c r="C155" s="33" t="s">
        <v>5</v>
      </c>
      <c r="D155" s="273" t="s">
        <v>1647</v>
      </c>
      <c r="E155" s="32" t="s">
        <v>559</v>
      </c>
      <c r="F155" s="32" t="s">
        <v>1977</v>
      </c>
      <c r="G155" s="34">
        <v>46207</v>
      </c>
      <c r="H155" s="34">
        <v>46232</v>
      </c>
      <c r="I155" s="32" t="s">
        <v>84</v>
      </c>
      <c r="J155" s="77" t="s">
        <v>316</v>
      </c>
      <c r="K155" s="301" t="s">
        <v>86</v>
      </c>
      <c r="L155" s="81">
        <v>6250</v>
      </c>
      <c r="M155" s="141">
        <v>1750</v>
      </c>
      <c r="N155" s="166">
        <v>100</v>
      </c>
      <c r="O155" s="224">
        <f>SUM(L155:N155)</f>
        <v>8100</v>
      </c>
    </row>
    <row r="156" spans="1:15">
      <c r="A156" s="114" t="s">
        <v>1978</v>
      </c>
      <c r="B156" s="106" t="s">
        <v>1854</v>
      </c>
      <c r="C156" s="33" t="s">
        <v>5</v>
      </c>
      <c r="D156" s="273" t="s">
        <v>1650</v>
      </c>
      <c r="E156" s="32" t="s">
        <v>559</v>
      </c>
      <c r="F156" s="32" t="s">
        <v>1979</v>
      </c>
      <c r="G156" s="34">
        <v>46202</v>
      </c>
      <c r="H156" s="34">
        <v>46222</v>
      </c>
      <c r="I156" s="32" t="s">
        <v>100</v>
      </c>
      <c r="J156" s="77" t="s">
        <v>85</v>
      </c>
      <c r="K156" s="301" t="s">
        <v>1370</v>
      </c>
      <c r="L156" s="81">
        <v>10050</v>
      </c>
      <c r="M156" s="141">
        <v>0</v>
      </c>
      <c r="N156" s="166">
        <v>0</v>
      </c>
      <c r="O156" s="224">
        <f>SUM(L156:N156)</f>
        <v>10050</v>
      </c>
    </row>
    <row r="157" spans="1:15">
      <c r="A157" s="114" t="s">
        <v>1980</v>
      </c>
      <c r="B157" s="106" t="s">
        <v>1646</v>
      </c>
      <c r="C157" s="33" t="s">
        <v>5</v>
      </c>
      <c r="D157" s="273" t="s">
        <v>1650</v>
      </c>
      <c r="E157" s="32" t="s">
        <v>559</v>
      </c>
      <c r="F157" s="32" t="s">
        <v>1981</v>
      </c>
      <c r="G157" s="34">
        <v>46213</v>
      </c>
      <c r="H157" s="34">
        <v>46231</v>
      </c>
      <c r="I157" s="32" t="s">
        <v>100</v>
      </c>
      <c r="J157" s="77" t="s">
        <v>621</v>
      </c>
      <c r="K157" s="301" t="s">
        <v>1364</v>
      </c>
      <c r="L157" s="81">
        <v>8150</v>
      </c>
      <c r="M157" s="141">
        <v>0</v>
      </c>
      <c r="N157" s="166">
        <v>0</v>
      </c>
      <c r="O157" s="224">
        <f>SUM(L157:N157)</f>
        <v>8150</v>
      </c>
    </row>
    <row r="158" spans="1:15">
      <c r="A158" s="114" t="s">
        <v>1982</v>
      </c>
      <c r="B158" s="106" t="s">
        <v>1646</v>
      </c>
      <c r="C158" s="33" t="s">
        <v>5</v>
      </c>
      <c r="D158" s="273" t="s">
        <v>1650</v>
      </c>
      <c r="E158" s="32" t="s">
        <v>559</v>
      </c>
      <c r="F158" s="32" t="s">
        <v>1983</v>
      </c>
      <c r="G158" s="34">
        <v>46210</v>
      </c>
      <c r="H158" s="34">
        <v>46235</v>
      </c>
      <c r="I158" s="32" t="s">
        <v>100</v>
      </c>
      <c r="J158" s="77" t="s">
        <v>85</v>
      </c>
      <c r="K158" s="301" t="s">
        <v>1370</v>
      </c>
      <c r="L158" s="81">
        <v>7900</v>
      </c>
      <c r="M158" s="141">
        <v>0</v>
      </c>
      <c r="N158" s="166">
        <v>0</v>
      </c>
      <c r="O158" s="224">
        <f>SUM(L158:N158)</f>
        <v>7900</v>
      </c>
    </row>
    <row r="159" spans="1:15">
      <c r="A159" s="114" t="s">
        <v>1984</v>
      </c>
      <c r="B159" s="106" t="s">
        <v>1646</v>
      </c>
      <c r="C159" s="33" t="s">
        <v>5</v>
      </c>
      <c r="D159" s="273" t="s">
        <v>1650</v>
      </c>
      <c r="E159" s="32" t="s">
        <v>559</v>
      </c>
      <c r="F159" s="32" t="s">
        <v>1985</v>
      </c>
      <c r="G159" s="34">
        <v>46213</v>
      </c>
      <c r="H159" s="34">
        <v>46231</v>
      </c>
      <c r="I159" s="32" t="s">
        <v>100</v>
      </c>
      <c r="J159" s="77" t="s">
        <v>85</v>
      </c>
      <c r="K159" s="301" t="s">
        <v>1364</v>
      </c>
      <c r="L159" s="81">
        <v>7900</v>
      </c>
      <c r="M159" s="141">
        <v>0</v>
      </c>
      <c r="N159" s="166">
        <v>0</v>
      </c>
      <c r="O159" s="224">
        <f>SUM(L159:N159)</f>
        <v>7900</v>
      </c>
    </row>
    <row r="160" spans="1:15" ht="27.6">
      <c r="A160" s="114" t="s">
        <v>1986</v>
      </c>
      <c r="B160" s="106" t="s">
        <v>1673</v>
      </c>
      <c r="C160" s="33" t="s">
        <v>5</v>
      </c>
      <c r="D160" s="273" t="s">
        <v>1647</v>
      </c>
      <c r="E160" s="32" t="s">
        <v>559</v>
      </c>
      <c r="F160" s="32" t="s">
        <v>1987</v>
      </c>
      <c r="G160" s="34">
        <v>46189</v>
      </c>
      <c r="H160" s="34">
        <v>46232</v>
      </c>
      <c r="I160" s="32" t="s">
        <v>89</v>
      </c>
      <c r="J160" s="77" t="s">
        <v>66</v>
      </c>
      <c r="K160" s="301" t="s">
        <v>1364</v>
      </c>
      <c r="L160" s="81">
        <v>5200</v>
      </c>
      <c r="M160" s="141">
        <v>0</v>
      </c>
      <c r="N160" s="166">
        <v>0</v>
      </c>
      <c r="O160" s="224">
        <f>SUM(L160:N160)</f>
        <v>5200</v>
      </c>
    </row>
    <row r="161" spans="1:15" ht="27.6">
      <c r="A161" s="114" t="s">
        <v>1988</v>
      </c>
      <c r="B161" s="106" t="s">
        <v>1673</v>
      </c>
      <c r="C161" s="33" t="s">
        <v>5</v>
      </c>
      <c r="D161" s="273" t="s">
        <v>1647</v>
      </c>
      <c r="E161" s="32" t="s">
        <v>559</v>
      </c>
      <c r="F161" s="32" t="s">
        <v>1989</v>
      </c>
      <c r="G161" s="34">
        <v>46210</v>
      </c>
      <c r="H161" s="34">
        <v>46242</v>
      </c>
      <c r="I161" s="32" t="s">
        <v>100</v>
      </c>
      <c r="J161" s="77" t="s">
        <v>66</v>
      </c>
      <c r="K161" s="301" t="s">
        <v>86</v>
      </c>
      <c r="L161" s="81">
        <v>6200</v>
      </c>
      <c r="M161" s="141">
        <v>1750</v>
      </c>
      <c r="N161" s="166">
        <v>100</v>
      </c>
      <c r="O161" s="224">
        <f>SUM(L161:N161)</f>
        <v>8050</v>
      </c>
    </row>
    <row r="162" spans="1:15" ht="15">
      <c r="A162" s="114" t="s">
        <v>1990</v>
      </c>
      <c r="B162" s="106" t="s">
        <v>1717</v>
      </c>
      <c r="C162" s="33" t="s">
        <v>1683</v>
      </c>
      <c r="D162" s="273" t="s">
        <v>1718</v>
      </c>
      <c r="E162" s="32" t="s">
        <v>559</v>
      </c>
      <c r="F162" s="32" t="s">
        <v>1991</v>
      </c>
      <c r="G162" s="34">
        <v>46212</v>
      </c>
      <c r="H162" s="34">
        <v>46242</v>
      </c>
      <c r="I162" s="32" t="s">
        <v>89</v>
      </c>
      <c r="J162" s="77" t="s">
        <v>66</v>
      </c>
      <c r="K162" s="301" t="s">
        <v>105</v>
      </c>
      <c r="L162" s="81">
        <v>5800</v>
      </c>
      <c r="M162" s="141">
        <v>0</v>
      </c>
      <c r="N162" s="166">
        <v>100</v>
      </c>
      <c r="O162" s="224">
        <f>SUM(L162:N162)</f>
        <v>5900</v>
      </c>
    </row>
    <row r="163" spans="1:15" ht="15">
      <c r="A163" s="114" t="s">
        <v>1992</v>
      </c>
      <c r="B163" s="106" t="s">
        <v>1717</v>
      </c>
      <c r="C163" s="33" t="s">
        <v>1683</v>
      </c>
      <c r="D163" s="273" t="s">
        <v>1718</v>
      </c>
      <c r="E163" s="32" t="s">
        <v>559</v>
      </c>
      <c r="F163" s="32" t="s">
        <v>1993</v>
      </c>
      <c r="G163" s="34">
        <v>46210</v>
      </c>
      <c r="H163" s="34">
        <v>46240</v>
      </c>
      <c r="I163" s="32" t="s">
        <v>100</v>
      </c>
      <c r="J163" s="77" t="s">
        <v>66</v>
      </c>
      <c r="K163" s="301" t="s">
        <v>105</v>
      </c>
      <c r="L163" s="81">
        <v>6200</v>
      </c>
      <c r="M163" s="141">
        <v>0</v>
      </c>
      <c r="N163" s="166">
        <v>100</v>
      </c>
      <c r="O163" s="224">
        <f>SUM(L163:N163)</f>
        <v>6300</v>
      </c>
    </row>
    <row r="164" spans="1:15" ht="15">
      <c r="A164" s="114" t="s">
        <v>1994</v>
      </c>
      <c r="B164" s="106" t="s">
        <v>1717</v>
      </c>
      <c r="C164" s="33" t="s">
        <v>1683</v>
      </c>
      <c r="D164" s="273" t="s">
        <v>1718</v>
      </c>
      <c r="E164" s="32" t="s">
        <v>559</v>
      </c>
      <c r="F164" s="32" t="s">
        <v>1995</v>
      </c>
      <c r="G164" s="34">
        <v>46210</v>
      </c>
      <c r="H164" s="34">
        <v>46240</v>
      </c>
      <c r="I164" s="32" t="s">
        <v>100</v>
      </c>
      <c r="J164" s="77" t="s">
        <v>66</v>
      </c>
      <c r="K164" s="301" t="s">
        <v>105</v>
      </c>
      <c r="L164" s="81">
        <v>6200</v>
      </c>
      <c r="M164" s="141">
        <v>0</v>
      </c>
      <c r="N164" s="166">
        <v>100</v>
      </c>
      <c r="O164" s="224">
        <f>SUM(L164:N164)</f>
        <v>6300</v>
      </c>
    </row>
    <row r="165" spans="1:15">
      <c r="A165" s="114" t="s">
        <v>1933</v>
      </c>
      <c r="B165" s="106" t="s">
        <v>1827</v>
      </c>
      <c r="C165" s="33" t="s">
        <v>5</v>
      </c>
      <c r="D165" s="273" t="s">
        <v>1650</v>
      </c>
      <c r="E165" s="32" t="s">
        <v>559</v>
      </c>
      <c r="F165" s="32" t="s">
        <v>1996</v>
      </c>
      <c r="G165" s="34">
        <v>46213</v>
      </c>
      <c r="H165" s="34">
        <v>46231</v>
      </c>
      <c r="I165" s="32" t="s">
        <v>100</v>
      </c>
      <c r="J165" s="77" t="s">
        <v>621</v>
      </c>
      <c r="K165" s="301" t="s">
        <v>1364</v>
      </c>
      <c r="L165" s="81">
        <v>7800</v>
      </c>
      <c r="M165" s="141">
        <v>0</v>
      </c>
      <c r="N165" s="166">
        <v>180</v>
      </c>
      <c r="O165" s="224">
        <f>SUM(L165:N165)</f>
        <v>7980</v>
      </c>
    </row>
    <row r="166" spans="1:15">
      <c r="A166" s="114" t="s">
        <v>1997</v>
      </c>
      <c r="B166" s="106" t="s">
        <v>1827</v>
      </c>
      <c r="C166" s="33" t="s">
        <v>5</v>
      </c>
      <c r="D166" s="273" t="s">
        <v>1650</v>
      </c>
      <c r="E166" s="32" t="s">
        <v>559</v>
      </c>
      <c r="F166" s="32" t="s">
        <v>1998</v>
      </c>
      <c r="G166" s="34">
        <v>46217</v>
      </c>
      <c r="H166" s="34">
        <v>46235</v>
      </c>
      <c r="I166" s="32" t="s">
        <v>100</v>
      </c>
      <c r="J166" s="77" t="s">
        <v>621</v>
      </c>
      <c r="K166" s="301" t="s">
        <v>1364</v>
      </c>
      <c r="L166" s="81">
        <v>7800</v>
      </c>
      <c r="M166" s="141">
        <v>0</v>
      </c>
      <c r="N166" s="166">
        <v>180</v>
      </c>
      <c r="O166" s="224">
        <f>SUM(L166:N166)</f>
        <v>7980</v>
      </c>
    </row>
    <row r="167" spans="1:15">
      <c r="A167" s="114" t="s">
        <v>1999</v>
      </c>
      <c r="B167" s="106" t="s">
        <v>1854</v>
      </c>
      <c r="C167" s="33" t="s">
        <v>5</v>
      </c>
      <c r="D167" s="273" t="s">
        <v>1650</v>
      </c>
      <c r="E167" s="32" t="s">
        <v>559</v>
      </c>
      <c r="F167" s="32" t="s">
        <v>2000</v>
      </c>
      <c r="G167" s="34">
        <v>46220</v>
      </c>
      <c r="H167" s="34">
        <v>46238</v>
      </c>
      <c r="I167" s="32" t="s">
        <v>100</v>
      </c>
      <c r="J167" s="77" t="s">
        <v>621</v>
      </c>
      <c r="K167" s="301" t="s">
        <v>1364</v>
      </c>
      <c r="L167" s="81">
        <v>7800</v>
      </c>
      <c r="M167" s="141">
        <v>0</v>
      </c>
      <c r="N167" s="166">
        <v>0</v>
      </c>
      <c r="O167" s="224">
        <f>SUM(L167:N167)</f>
        <v>7800</v>
      </c>
    </row>
    <row r="168" spans="1:15">
      <c r="A168" s="114" t="s">
        <v>2001</v>
      </c>
      <c r="B168" s="106" t="s">
        <v>1710</v>
      </c>
      <c r="C168" s="33" t="s">
        <v>1683</v>
      </c>
      <c r="D168" s="273" t="s">
        <v>1650</v>
      </c>
      <c r="E168" s="32" t="s">
        <v>559</v>
      </c>
      <c r="F168" s="32" t="s">
        <v>2002</v>
      </c>
      <c r="G168" s="34">
        <v>46219</v>
      </c>
      <c r="H168" s="34">
        <v>46241</v>
      </c>
      <c r="I168" s="32" t="s">
        <v>507</v>
      </c>
      <c r="J168" s="77" t="s">
        <v>66</v>
      </c>
      <c r="K168" s="301" t="s">
        <v>105</v>
      </c>
      <c r="L168" s="81">
        <v>5600</v>
      </c>
      <c r="M168" s="141">
        <v>0</v>
      </c>
      <c r="N168" s="166">
        <v>100</v>
      </c>
      <c r="O168" s="224">
        <f>SUM(L168:N168)</f>
        <v>5700</v>
      </c>
    </row>
    <row r="169" spans="1:15" ht="15">
      <c r="A169" s="114" t="s">
        <v>2003</v>
      </c>
      <c r="B169" s="106" t="s">
        <v>1717</v>
      </c>
      <c r="C169" s="33" t="s">
        <v>1683</v>
      </c>
      <c r="D169" s="273" t="s">
        <v>1718</v>
      </c>
      <c r="E169" s="32" t="s">
        <v>559</v>
      </c>
      <c r="F169" s="32" t="s">
        <v>2004</v>
      </c>
      <c r="G169" s="34">
        <v>46210</v>
      </c>
      <c r="H169" s="34">
        <v>46240</v>
      </c>
      <c r="I169" s="32" t="s">
        <v>100</v>
      </c>
      <c r="J169" s="77" t="s">
        <v>66</v>
      </c>
      <c r="K169" s="301" t="s">
        <v>105</v>
      </c>
      <c r="L169" s="81">
        <v>6200</v>
      </c>
      <c r="M169" s="141">
        <v>0</v>
      </c>
      <c r="N169" s="166">
        <v>100</v>
      </c>
      <c r="O169" s="224">
        <f>SUM(L169:N169)</f>
        <v>6300</v>
      </c>
    </row>
    <row r="170" spans="1:15">
      <c r="A170" s="114" t="s">
        <v>2005</v>
      </c>
      <c r="B170" s="106" t="s">
        <v>1717</v>
      </c>
      <c r="C170" s="33" t="s">
        <v>1683</v>
      </c>
      <c r="D170" s="273" t="s">
        <v>1718</v>
      </c>
      <c r="E170" s="32" t="s">
        <v>559</v>
      </c>
      <c r="F170" s="32" t="s">
        <v>2006</v>
      </c>
      <c r="G170" s="34">
        <v>46226</v>
      </c>
      <c r="H170" s="34">
        <v>46250</v>
      </c>
      <c r="I170" s="32" t="s">
        <v>89</v>
      </c>
      <c r="J170" s="77" t="s">
        <v>66</v>
      </c>
      <c r="K170" s="301" t="s">
        <v>105</v>
      </c>
      <c r="L170" s="81">
        <v>5000</v>
      </c>
      <c r="M170" s="141">
        <v>0</v>
      </c>
      <c r="N170" s="166">
        <v>100</v>
      </c>
      <c r="O170" s="224">
        <f>SUM(L170:N170)</f>
        <v>5100</v>
      </c>
    </row>
    <row r="171" spans="1:15">
      <c r="A171" s="114" t="s">
        <v>2007</v>
      </c>
      <c r="B171" s="106" t="s">
        <v>1717</v>
      </c>
      <c r="C171" s="33" t="s">
        <v>1683</v>
      </c>
      <c r="D171" s="273" t="s">
        <v>1718</v>
      </c>
      <c r="E171" s="32" t="s">
        <v>559</v>
      </c>
      <c r="F171" s="32" t="s">
        <v>2008</v>
      </c>
      <c r="G171" s="34">
        <v>46226</v>
      </c>
      <c r="H171" s="34">
        <v>46250</v>
      </c>
      <c r="I171" s="32" t="s">
        <v>89</v>
      </c>
      <c r="J171" s="77" t="s">
        <v>66</v>
      </c>
      <c r="K171" s="301" t="s">
        <v>105</v>
      </c>
      <c r="L171" s="81">
        <v>5000</v>
      </c>
      <c r="M171" s="141">
        <v>0</v>
      </c>
      <c r="N171" s="166">
        <v>100</v>
      </c>
      <c r="O171" s="224">
        <f>SUM(L171:N171)</f>
        <v>5100</v>
      </c>
    </row>
    <row r="172" spans="1:15">
      <c r="A172" s="114" t="s">
        <v>2009</v>
      </c>
      <c r="B172" s="106" t="s">
        <v>1646</v>
      </c>
      <c r="C172" s="33" t="s">
        <v>5</v>
      </c>
      <c r="D172" s="273" t="s">
        <v>1650</v>
      </c>
      <c r="E172" s="32" t="s">
        <v>559</v>
      </c>
      <c r="F172" s="32" t="s">
        <v>2010</v>
      </c>
      <c r="G172" s="34">
        <v>46232</v>
      </c>
      <c r="H172" s="34">
        <v>46269</v>
      </c>
      <c r="I172" s="32" t="s">
        <v>89</v>
      </c>
      <c r="J172" s="77" t="s">
        <v>621</v>
      </c>
      <c r="K172" s="301" t="s">
        <v>105</v>
      </c>
      <c r="L172" s="81">
        <v>5000</v>
      </c>
      <c r="M172" s="141">
        <v>0</v>
      </c>
      <c r="N172" s="166">
        <v>0</v>
      </c>
      <c r="O172" s="224">
        <f>SUM(L172:N172)</f>
        <v>5000</v>
      </c>
    </row>
    <row r="173" spans="1:15">
      <c r="A173" s="114" t="s">
        <v>2011</v>
      </c>
      <c r="B173" s="106" t="s">
        <v>1646</v>
      </c>
      <c r="C173" s="33" t="s">
        <v>5</v>
      </c>
      <c r="D173" s="273" t="s">
        <v>1650</v>
      </c>
      <c r="E173" s="32" t="s">
        <v>559</v>
      </c>
      <c r="F173" s="32" t="s">
        <v>2012</v>
      </c>
      <c r="G173" s="34">
        <v>46232</v>
      </c>
      <c r="H173" s="34">
        <v>46269</v>
      </c>
      <c r="I173" s="32" t="s">
        <v>89</v>
      </c>
      <c r="J173" s="77" t="s">
        <v>621</v>
      </c>
      <c r="K173" s="301" t="s">
        <v>105</v>
      </c>
      <c r="L173" s="81">
        <v>5000</v>
      </c>
      <c r="M173" s="141">
        <v>0</v>
      </c>
      <c r="N173" s="166">
        <v>100</v>
      </c>
      <c r="O173" s="224">
        <f>SUM(L173:N173)</f>
        <v>5100</v>
      </c>
    </row>
    <row r="174" spans="1:15">
      <c r="A174" s="114" t="s">
        <v>2013</v>
      </c>
      <c r="B174" s="106" t="s">
        <v>1646</v>
      </c>
      <c r="C174" s="33" t="s">
        <v>5</v>
      </c>
      <c r="D174" s="273" t="s">
        <v>1650</v>
      </c>
      <c r="E174" s="32" t="s">
        <v>559</v>
      </c>
      <c r="F174" s="32" t="s">
        <v>2014</v>
      </c>
      <c r="G174" s="34">
        <v>46232</v>
      </c>
      <c r="H174" s="34">
        <v>46269</v>
      </c>
      <c r="I174" s="32" t="s">
        <v>89</v>
      </c>
      <c r="J174" s="77" t="s">
        <v>621</v>
      </c>
      <c r="K174" s="301" t="s">
        <v>105</v>
      </c>
      <c r="L174" s="81">
        <v>5000</v>
      </c>
      <c r="M174" s="141">
        <v>0</v>
      </c>
      <c r="N174" s="166">
        <v>100</v>
      </c>
      <c r="O174" s="224">
        <f>SUM(L174:N174)</f>
        <v>5100</v>
      </c>
    </row>
    <row r="175" spans="1:15" ht="27.6">
      <c r="A175" s="114" t="s">
        <v>2015</v>
      </c>
      <c r="B175" s="106" t="s">
        <v>1673</v>
      </c>
      <c r="C175" s="33" t="s">
        <v>5</v>
      </c>
      <c r="D175" s="273" t="s">
        <v>1647</v>
      </c>
      <c r="E175" s="32" t="s">
        <v>559</v>
      </c>
      <c r="F175" s="32" t="s">
        <v>2016</v>
      </c>
      <c r="G175" s="34">
        <v>46231</v>
      </c>
      <c r="H175" s="34">
        <v>46259</v>
      </c>
      <c r="I175" s="32" t="s">
        <v>482</v>
      </c>
      <c r="J175" s="77" t="s">
        <v>66</v>
      </c>
      <c r="K175" s="301" t="s">
        <v>105</v>
      </c>
      <c r="L175" s="81">
        <v>4950</v>
      </c>
      <c r="M175" s="141">
        <v>0</v>
      </c>
      <c r="N175" s="166">
        <v>100</v>
      </c>
      <c r="O175" s="224">
        <f>SUM(L175:N175)</f>
        <v>5050</v>
      </c>
    </row>
    <row r="176" spans="1:15">
      <c r="A176" s="114" t="s">
        <v>2017</v>
      </c>
      <c r="B176" s="106" t="s">
        <v>1917</v>
      </c>
      <c r="C176" s="33" t="s">
        <v>5</v>
      </c>
      <c r="D176" s="273" t="s">
        <v>1650</v>
      </c>
      <c r="E176" s="32" t="s">
        <v>559</v>
      </c>
      <c r="F176" s="32" t="s">
        <v>2018</v>
      </c>
      <c r="G176" s="34">
        <v>46213</v>
      </c>
      <c r="H176" s="34">
        <v>46237</v>
      </c>
      <c r="I176" s="32" t="s">
        <v>1785</v>
      </c>
      <c r="J176" s="77" t="s">
        <v>85</v>
      </c>
      <c r="K176" s="301" t="s">
        <v>1370</v>
      </c>
      <c r="L176" s="81">
        <v>6800</v>
      </c>
      <c r="M176" s="141">
        <v>0</v>
      </c>
      <c r="N176" s="166">
        <v>180</v>
      </c>
      <c r="O176" s="224">
        <f>SUM(L176:N176)</f>
        <v>6980</v>
      </c>
    </row>
    <row r="177" spans="1:15">
      <c r="A177" s="114" t="s">
        <v>2019</v>
      </c>
      <c r="B177" s="106" t="s">
        <v>1917</v>
      </c>
      <c r="C177" s="33" t="s">
        <v>5</v>
      </c>
      <c r="D177" s="273" t="s">
        <v>1650</v>
      </c>
      <c r="E177" s="32" t="s">
        <v>559</v>
      </c>
      <c r="F177" s="32" t="s">
        <v>2020</v>
      </c>
      <c r="G177" s="34">
        <v>46225</v>
      </c>
      <c r="H177" s="34">
        <v>46259</v>
      </c>
      <c r="I177" s="32" t="s">
        <v>149</v>
      </c>
      <c r="J177" s="77" t="s">
        <v>621</v>
      </c>
      <c r="K177" s="301" t="s">
        <v>105</v>
      </c>
      <c r="L177" s="81">
        <v>4900</v>
      </c>
      <c r="M177" s="141">
        <v>0</v>
      </c>
      <c r="N177" s="166">
        <v>180</v>
      </c>
      <c r="O177" s="224">
        <f>SUM(L177:N177)</f>
        <v>5080</v>
      </c>
    </row>
    <row r="178" spans="1:15">
      <c r="A178" s="114" t="s">
        <v>2021</v>
      </c>
      <c r="B178" s="106" t="s">
        <v>1854</v>
      </c>
      <c r="C178" s="33" t="s">
        <v>1854</v>
      </c>
      <c r="D178" s="273" t="s">
        <v>1650</v>
      </c>
      <c r="E178" s="32" t="s">
        <v>559</v>
      </c>
      <c r="F178" s="32" t="s">
        <v>2022</v>
      </c>
      <c r="G178" s="34">
        <v>46221</v>
      </c>
      <c r="H178" s="34">
        <v>46247</v>
      </c>
      <c r="I178" s="32" t="s">
        <v>100</v>
      </c>
      <c r="J178" s="77" t="s">
        <v>85</v>
      </c>
      <c r="K178" s="301" t="s">
        <v>1364</v>
      </c>
      <c r="L178" s="81">
        <v>6700</v>
      </c>
      <c r="M178" s="141">
        <v>0</v>
      </c>
      <c r="N178" s="166">
        <v>0</v>
      </c>
      <c r="O178" s="224">
        <f>SUM(L178:N178)</f>
        <v>6700</v>
      </c>
    </row>
    <row r="179" spans="1:15">
      <c r="A179" s="114" t="s">
        <v>2023</v>
      </c>
      <c r="B179" s="106" t="s">
        <v>1646</v>
      </c>
      <c r="C179" s="33" t="s">
        <v>5</v>
      </c>
      <c r="D179" s="273" t="s">
        <v>1650</v>
      </c>
      <c r="E179" s="32" t="s">
        <v>559</v>
      </c>
      <c r="F179" s="32" t="s">
        <v>2024</v>
      </c>
      <c r="G179" s="34">
        <v>46228</v>
      </c>
      <c r="H179" s="34">
        <v>46257</v>
      </c>
      <c r="I179" s="32" t="s">
        <v>100</v>
      </c>
      <c r="J179" s="77" t="s">
        <v>85</v>
      </c>
      <c r="K179" s="301" t="s">
        <v>105</v>
      </c>
      <c r="L179" s="81">
        <v>5000</v>
      </c>
      <c r="M179" s="141">
        <v>0</v>
      </c>
      <c r="N179" s="166">
        <v>100</v>
      </c>
      <c r="O179" s="224">
        <f>SUM(L179:N179)</f>
        <v>5100</v>
      </c>
    </row>
    <row r="180" spans="1:15">
      <c r="A180" s="114" t="s">
        <v>2025</v>
      </c>
      <c r="B180" s="106" t="s">
        <v>1827</v>
      </c>
      <c r="C180" s="33" t="s">
        <v>5</v>
      </c>
      <c r="D180" s="273" t="s">
        <v>1650</v>
      </c>
      <c r="E180" s="32" t="s">
        <v>559</v>
      </c>
      <c r="F180" s="32" t="s">
        <v>2026</v>
      </c>
      <c r="G180" s="34">
        <v>46230</v>
      </c>
      <c r="H180" s="34">
        <v>46250</v>
      </c>
      <c r="I180" s="32" t="s">
        <v>1424</v>
      </c>
      <c r="J180" s="77" t="s">
        <v>621</v>
      </c>
      <c r="K180" s="301" t="s">
        <v>1364</v>
      </c>
      <c r="L180" s="81">
        <v>5600</v>
      </c>
      <c r="M180" s="141">
        <v>0</v>
      </c>
      <c r="N180" s="166">
        <v>180</v>
      </c>
      <c r="O180" s="224">
        <f>SUM(L180:N180)</f>
        <v>5780</v>
      </c>
    </row>
    <row r="181" spans="1:15">
      <c r="A181" s="114" t="s">
        <v>2027</v>
      </c>
      <c r="B181" s="106" t="s">
        <v>1827</v>
      </c>
      <c r="C181" s="33" t="s">
        <v>5</v>
      </c>
      <c r="D181" s="273" t="s">
        <v>1650</v>
      </c>
      <c r="E181" s="32" t="s">
        <v>559</v>
      </c>
      <c r="F181" s="32" t="s">
        <v>2028</v>
      </c>
      <c r="G181" s="34">
        <v>46230</v>
      </c>
      <c r="H181" s="34">
        <v>46250</v>
      </c>
      <c r="I181" s="32" t="s">
        <v>1424</v>
      </c>
      <c r="J181" s="77" t="s">
        <v>621</v>
      </c>
      <c r="K181" s="301" t="s">
        <v>1364</v>
      </c>
      <c r="L181" s="81">
        <v>5600</v>
      </c>
      <c r="M181" s="141">
        <v>0</v>
      </c>
      <c r="N181" s="166">
        <v>180</v>
      </c>
      <c r="O181" s="224">
        <f>SUM(L181:N181)</f>
        <v>5780</v>
      </c>
    </row>
    <row r="182" spans="1:15">
      <c r="A182" s="114" t="s">
        <v>2029</v>
      </c>
      <c r="B182" s="106" t="s">
        <v>1854</v>
      </c>
      <c r="C182" s="33" t="s">
        <v>5</v>
      </c>
      <c r="D182" s="273" t="s">
        <v>1650</v>
      </c>
      <c r="E182" s="32" t="s">
        <v>559</v>
      </c>
      <c r="F182" s="32" t="s">
        <v>2030</v>
      </c>
      <c r="G182" s="34">
        <v>46232</v>
      </c>
      <c r="H182" s="34">
        <v>46261</v>
      </c>
      <c r="I182" s="32" t="s">
        <v>482</v>
      </c>
      <c r="J182" s="77" t="s">
        <v>66</v>
      </c>
      <c r="K182" s="301" t="s">
        <v>1370</v>
      </c>
      <c r="L182" s="81">
        <v>5600</v>
      </c>
      <c r="M182" s="141">
        <v>0</v>
      </c>
      <c r="N182" s="166">
        <v>0</v>
      </c>
      <c r="O182" s="224">
        <f>SUM(L182:N182)</f>
        <v>5600</v>
      </c>
    </row>
    <row r="183" spans="1:15">
      <c r="A183" s="114" t="s">
        <v>2031</v>
      </c>
      <c r="B183" s="106" t="s">
        <v>1646</v>
      </c>
      <c r="C183" s="33" t="s">
        <v>5</v>
      </c>
      <c r="D183" s="273" t="s">
        <v>1650</v>
      </c>
      <c r="E183" s="32" t="s">
        <v>559</v>
      </c>
      <c r="F183" s="32" t="s">
        <v>2032</v>
      </c>
      <c r="G183" s="34">
        <v>46246</v>
      </c>
      <c r="H183" s="34">
        <v>46285</v>
      </c>
      <c r="I183" s="32" t="s">
        <v>89</v>
      </c>
      <c r="J183" s="77" t="s">
        <v>621</v>
      </c>
      <c r="K183" s="301" t="s">
        <v>105</v>
      </c>
      <c r="L183" s="81">
        <v>6550</v>
      </c>
      <c r="M183" s="141">
        <v>0</v>
      </c>
      <c r="N183" s="166">
        <v>100</v>
      </c>
      <c r="O183" s="224">
        <f>SUM(L183:N183)</f>
        <v>6650</v>
      </c>
    </row>
    <row r="184" spans="1:15">
      <c r="A184" s="114" t="s">
        <v>2033</v>
      </c>
      <c r="B184" s="106" t="s">
        <v>1646</v>
      </c>
      <c r="C184" s="33" t="s">
        <v>5</v>
      </c>
      <c r="D184" s="273" t="s">
        <v>1650</v>
      </c>
      <c r="E184" s="32" t="s">
        <v>559</v>
      </c>
      <c r="F184" s="32" t="s">
        <v>2034</v>
      </c>
      <c r="G184" s="34">
        <v>46246</v>
      </c>
      <c r="H184" s="34">
        <v>46285</v>
      </c>
      <c r="I184" s="32" t="s">
        <v>89</v>
      </c>
      <c r="J184" s="77" t="s">
        <v>621</v>
      </c>
      <c r="K184" s="301" t="s">
        <v>105</v>
      </c>
      <c r="L184" s="81">
        <v>6550</v>
      </c>
      <c r="M184" s="141">
        <v>0</v>
      </c>
      <c r="N184" s="166">
        <v>100</v>
      </c>
      <c r="O184" s="224">
        <f>SUM(L184:N184)</f>
        <v>6650</v>
      </c>
    </row>
    <row r="185" spans="1:15">
      <c r="A185" s="114" t="s">
        <v>2035</v>
      </c>
      <c r="B185" s="106" t="s">
        <v>1646</v>
      </c>
      <c r="C185" s="33" t="s">
        <v>5</v>
      </c>
      <c r="D185" s="273" t="s">
        <v>1650</v>
      </c>
      <c r="E185" s="32" t="s">
        <v>559</v>
      </c>
      <c r="F185" s="32" t="s">
        <v>2036</v>
      </c>
      <c r="G185" s="34">
        <v>46246</v>
      </c>
      <c r="H185" s="34">
        <v>46285</v>
      </c>
      <c r="I185" s="32" t="s">
        <v>89</v>
      </c>
      <c r="J185" s="77" t="s">
        <v>621</v>
      </c>
      <c r="K185" s="301" t="s">
        <v>105</v>
      </c>
      <c r="L185" s="81">
        <v>6550</v>
      </c>
      <c r="M185" s="141">
        <v>0</v>
      </c>
      <c r="N185" s="166">
        <v>100</v>
      </c>
      <c r="O185" s="224">
        <f>SUM(L185:N185)</f>
        <v>6650</v>
      </c>
    </row>
    <row r="186" spans="1:15">
      <c r="A186" s="114" t="s">
        <v>2037</v>
      </c>
      <c r="B186" s="106" t="s">
        <v>1646</v>
      </c>
      <c r="C186" s="33" t="s">
        <v>5</v>
      </c>
      <c r="D186" s="273" t="s">
        <v>1650</v>
      </c>
      <c r="E186" s="32" t="s">
        <v>559</v>
      </c>
      <c r="F186" s="32" t="s">
        <v>2038</v>
      </c>
      <c r="G186" s="34">
        <v>46246</v>
      </c>
      <c r="H186" s="34">
        <v>46285</v>
      </c>
      <c r="I186" s="32" t="s">
        <v>89</v>
      </c>
      <c r="J186" s="77" t="s">
        <v>621</v>
      </c>
      <c r="K186" s="301" t="s">
        <v>105</v>
      </c>
      <c r="L186" s="81">
        <v>6550</v>
      </c>
      <c r="M186" s="141">
        <v>0</v>
      </c>
      <c r="N186" s="166">
        <v>100</v>
      </c>
      <c r="O186" s="224">
        <f>SUM(L186:N186)</f>
        <v>6650</v>
      </c>
    </row>
    <row r="187" spans="1:15" ht="27.6">
      <c r="A187" s="114" t="s">
        <v>2039</v>
      </c>
      <c r="B187" s="106" t="s">
        <v>1673</v>
      </c>
      <c r="C187" s="33" t="s">
        <v>5</v>
      </c>
      <c r="D187" s="273" t="s">
        <v>1647</v>
      </c>
      <c r="E187" s="32" t="s">
        <v>559</v>
      </c>
      <c r="F187" s="32" t="s">
        <v>2040</v>
      </c>
      <c r="G187" s="34">
        <v>46224</v>
      </c>
      <c r="H187" s="34">
        <v>46264</v>
      </c>
      <c r="I187" s="32" t="s">
        <v>100</v>
      </c>
      <c r="J187" s="77" t="s">
        <v>66</v>
      </c>
      <c r="K187" s="301" t="s">
        <v>105</v>
      </c>
      <c r="L187" s="81">
        <v>5500</v>
      </c>
      <c r="M187" s="141">
        <v>0</v>
      </c>
      <c r="N187" s="166">
        <v>0</v>
      </c>
      <c r="O187" s="224">
        <f>SUM(L187:N187)</f>
        <v>5500</v>
      </c>
    </row>
    <row r="188" spans="1:15">
      <c r="A188" s="114" t="s">
        <v>2041</v>
      </c>
      <c r="B188" s="106" t="s">
        <v>1717</v>
      </c>
      <c r="C188" s="33" t="s">
        <v>1683</v>
      </c>
      <c r="D188" s="273" t="s">
        <v>1718</v>
      </c>
      <c r="E188" s="32" t="s">
        <v>559</v>
      </c>
      <c r="F188" s="32" t="s">
        <v>2042</v>
      </c>
      <c r="G188" s="34">
        <v>46233</v>
      </c>
      <c r="H188" s="34">
        <v>46261</v>
      </c>
      <c r="I188" s="32" t="s">
        <v>89</v>
      </c>
      <c r="J188" s="77" t="s">
        <v>66</v>
      </c>
      <c r="K188" s="301" t="s">
        <v>105</v>
      </c>
      <c r="L188" s="81">
        <v>5200</v>
      </c>
      <c r="M188" s="141">
        <v>0</v>
      </c>
      <c r="N188" s="166">
        <v>100</v>
      </c>
      <c r="O188" s="224">
        <f>SUM(L188:N188)</f>
        <v>5300</v>
      </c>
    </row>
    <row r="189" spans="1:15">
      <c r="A189" s="114" t="s">
        <v>2043</v>
      </c>
      <c r="B189" s="106" t="s">
        <v>1717</v>
      </c>
      <c r="C189" s="33" t="s">
        <v>1683</v>
      </c>
      <c r="D189" s="273" t="s">
        <v>1718</v>
      </c>
      <c r="E189" s="32" t="s">
        <v>559</v>
      </c>
      <c r="F189" s="32" t="s">
        <v>2044</v>
      </c>
      <c r="G189" s="34">
        <v>46238</v>
      </c>
      <c r="H189" s="34">
        <v>46289</v>
      </c>
      <c r="I189" s="32" t="s">
        <v>507</v>
      </c>
      <c r="J189" s="77" t="s">
        <v>2045</v>
      </c>
      <c r="K189" s="301" t="s">
        <v>105</v>
      </c>
      <c r="L189" s="81">
        <v>7950</v>
      </c>
      <c r="M189" s="141">
        <v>0</v>
      </c>
      <c r="N189" s="166">
        <v>100</v>
      </c>
      <c r="O189" s="224">
        <f>SUM(L189:N189)</f>
        <v>8050</v>
      </c>
    </row>
    <row r="190" spans="1:15">
      <c r="A190" s="114" t="s">
        <v>2046</v>
      </c>
      <c r="B190" s="106" t="s">
        <v>1717</v>
      </c>
      <c r="C190" s="33" t="s">
        <v>1683</v>
      </c>
      <c r="D190" s="273" t="s">
        <v>1718</v>
      </c>
      <c r="E190" s="32" t="s">
        <v>559</v>
      </c>
      <c r="F190" s="32" t="s">
        <v>2047</v>
      </c>
      <c r="G190" s="34">
        <v>46244</v>
      </c>
      <c r="H190" s="34">
        <v>46272</v>
      </c>
      <c r="I190" s="32" t="s">
        <v>1175</v>
      </c>
      <c r="J190" s="77" t="s">
        <v>66</v>
      </c>
      <c r="K190" s="301" t="s">
        <v>105</v>
      </c>
      <c r="L190" s="81">
        <v>6250</v>
      </c>
      <c r="M190" s="141">
        <v>0</v>
      </c>
      <c r="N190" s="166">
        <v>100</v>
      </c>
      <c r="O190" s="224">
        <f>SUM(L190:N190)</f>
        <v>6350</v>
      </c>
    </row>
    <row r="191" spans="1:15">
      <c r="A191" s="114" t="s">
        <v>2048</v>
      </c>
      <c r="B191" s="106" t="s">
        <v>1717</v>
      </c>
      <c r="C191" s="33" t="s">
        <v>1683</v>
      </c>
      <c r="D191" s="273" t="s">
        <v>1718</v>
      </c>
      <c r="E191" s="32" t="s">
        <v>559</v>
      </c>
      <c r="F191" s="32" t="s">
        <v>2049</v>
      </c>
      <c r="G191" s="34">
        <v>46244</v>
      </c>
      <c r="H191" s="34">
        <v>46272</v>
      </c>
      <c r="I191" s="32" t="s">
        <v>1175</v>
      </c>
      <c r="J191" s="77" t="s">
        <v>66</v>
      </c>
      <c r="K191" s="301" t="s">
        <v>105</v>
      </c>
      <c r="L191" s="81">
        <v>6250</v>
      </c>
      <c r="M191" s="141">
        <v>0</v>
      </c>
      <c r="N191" s="166">
        <v>100</v>
      </c>
      <c r="O191" s="224">
        <f>SUM(L191:N191)</f>
        <v>6350</v>
      </c>
    </row>
    <row r="192" spans="1:15">
      <c r="A192" s="114" t="s">
        <v>2050</v>
      </c>
      <c r="B192" s="106" t="s">
        <v>1710</v>
      </c>
      <c r="C192" s="33" t="s">
        <v>1683</v>
      </c>
      <c r="D192" s="273" t="s">
        <v>1650</v>
      </c>
      <c r="E192" s="32" t="s">
        <v>559</v>
      </c>
      <c r="F192" s="32" t="s">
        <v>2051</v>
      </c>
      <c r="G192" s="34">
        <v>46240</v>
      </c>
      <c r="H192" s="34">
        <v>46272</v>
      </c>
      <c r="I192" s="32" t="s">
        <v>89</v>
      </c>
      <c r="J192" s="77" t="s">
        <v>66</v>
      </c>
      <c r="K192" s="301" t="s">
        <v>105</v>
      </c>
      <c r="L192" s="81">
        <v>5700</v>
      </c>
      <c r="M192" s="141">
        <v>0</v>
      </c>
      <c r="N192" s="166">
        <v>100</v>
      </c>
      <c r="O192" s="224">
        <f>SUM(L192:N192)</f>
        <v>5800</v>
      </c>
    </row>
    <row r="193" spans="1:15">
      <c r="A193" s="114" t="s">
        <v>2052</v>
      </c>
      <c r="B193" s="106" t="s">
        <v>1710</v>
      </c>
      <c r="C193" s="33" t="s">
        <v>1683</v>
      </c>
      <c r="D193" s="273" t="s">
        <v>1650</v>
      </c>
      <c r="E193" s="32" t="s">
        <v>559</v>
      </c>
      <c r="F193" s="32" t="s">
        <v>2053</v>
      </c>
      <c r="G193" s="34">
        <v>46240</v>
      </c>
      <c r="H193" s="34">
        <v>46272</v>
      </c>
      <c r="I193" s="32" t="s">
        <v>89</v>
      </c>
      <c r="J193" s="77" t="s">
        <v>66</v>
      </c>
      <c r="K193" s="301" t="s">
        <v>105</v>
      </c>
      <c r="L193" s="81">
        <v>5700</v>
      </c>
      <c r="M193" s="141">
        <v>0</v>
      </c>
      <c r="N193" s="166">
        <v>100</v>
      </c>
      <c r="O193" s="224">
        <f>SUM(L193:N193)</f>
        <v>5800</v>
      </c>
    </row>
    <row r="194" spans="1:15">
      <c r="A194" s="114" t="s">
        <v>2054</v>
      </c>
      <c r="B194" s="106" t="s">
        <v>2055</v>
      </c>
      <c r="C194" s="33" t="s">
        <v>5</v>
      </c>
      <c r="D194" s="273" t="s">
        <v>1718</v>
      </c>
      <c r="E194" s="32" t="s">
        <v>559</v>
      </c>
      <c r="F194" s="32" t="s">
        <v>2056</v>
      </c>
      <c r="G194" s="34">
        <v>46228</v>
      </c>
      <c r="H194" s="34">
        <v>46271</v>
      </c>
      <c r="I194" s="32" t="s">
        <v>100</v>
      </c>
      <c r="J194" s="77" t="s">
        <v>85</v>
      </c>
      <c r="K194" s="301" t="s">
        <v>105</v>
      </c>
      <c r="L194" s="81">
        <f>5000+40</f>
        <v>5040</v>
      </c>
      <c r="M194" s="141">
        <v>0</v>
      </c>
      <c r="N194" s="166">
        <v>280</v>
      </c>
      <c r="O194" s="224">
        <f>SUM(L194:N194)</f>
        <v>5320</v>
      </c>
    </row>
    <row r="195" spans="1:15">
      <c r="A195" s="114" t="s">
        <v>2057</v>
      </c>
      <c r="B195" s="106" t="s">
        <v>1917</v>
      </c>
      <c r="C195" s="33" t="s">
        <v>5</v>
      </c>
      <c r="D195" s="273" t="s">
        <v>1650</v>
      </c>
      <c r="E195" s="32" t="s">
        <v>559</v>
      </c>
      <c r="F195" s="32" t="s">
        <v>2058</v>
      </c>
      <c r="G195" s="34">
        <v>46253</v>
      </c>
      <c r="H195" s="34">
        <v>46287</v>
      </c>
      <c r="I195" s="32" t="s">
        <v>89</v>
      </c>
      <c r="J195" s="77" t="s">
        <v>621</v>
      </c>
      <c r="K195" s="301" t="s">
        <v>105</v>
      </c>
      <c r="L195" s="81">
        <v>7450</v>
      </c>
      <c r="M195" s="141">
        <v>0</v>
      </c>
      <c r="N195" s="166">
        <v>180</v>
      </c>
      <c r="O195" s="224">
        <f>SUM(L195:N195)</f>
        <v>7630</v>
      </c>
    </row>
    <row r="196" spans="1:15">
      <c r="A196" s="114" t="s">
        <v>2059</v>
      </c>
      <c r="B196" s="106" t="s">
        <v>1646</v>
      </c>
      <c r="C196" s="33" t="s">
        <v>5</v>
      </c>
      <c r="D196" s="273" t="s">
        <v>1650</v>
      </c>
      <c r="E196" s="32" t="s">
        <v>559</v>
      </c>
      <c r="F196" s="32" t="s">
        <v>2060</v>
      </c>
      <c r="G196" s="34">
        <v>46253</v>
      </c>
      <c r="H196" s="34">
        <v>46287</v>
      </c>
      <c r="I196" s="32" t="s">
        <v>89</v>
      </c>
      <c r="J196" s="77" t="s">
        <v>621</v>
      </c>
      <c r="K196" s="301" t="s">
        <v>105</v>
      </c>
      <c r="L196" s="81">
        <v>7450</v>
      </c>
      <c r="M196" s="141">
        <v>0</v>
      </c>
      <c r="N196" s="166">
        <v>100</v>
      </c>
      <c r="O196" s="224">
        <f>SUM(L196:N196)</f>
        <v>7550</v>
      </c>
    </row>
    <row r="197" spans="1:15">
      <c r="A197" s="114" t="s">
        <v>2061</v>
      </c>
      <c r="B197" s="106" t="s">
        <v>1646</v>
      </c>
      <c r="C197" s="33" t="s">
        <v>5</v>
      </c>
      <c r="D197" s="273" t="s">
        <v>1650</v>
      </c>
      <c r="E197" s="32" t="s">
        <v>559</v>
      </c>
      <c r="F197" s="32" t="s">
        <v>2062</v>
      </c>
      <c r="G197" s="34">
        <v>46253</v>
      </c>
      <c r="H197" s="34">
        <v>46287</v>
      </c>
      <c r="I197" s="32" t="s">
        <v>89</v>
      </c>
      <c r="J197" s="77" t="s">
        <v>621</v>
      </c>
      <c r="K197" s="301" t="s">
        <v>105</v>
      </c>
      <c r="L197" s="81">
        <v>7450</v>
      </c>
      <c r="M197" s="141">
        <v>0</v>
      </c>
      <c r="N197" s="166">
        <v>100</v>
      </c>
      <c r="O197" s="224">
        <f>SUM(L197:N197)</f>
        <v>7550</v>
      </c>
    </row>
    <row r="198" spans="1:15">
      <c r="A198" s="114" t="s">
        <v>2063</v>
      </c>
      <c r="B198" s="106" t="s">
        <v>1827</v>
      </c>
      <c r="C198" s="33" t="s">
        <v>5</v>
      </c>
      <c r="D198" s="273" t="s">
        <v>1650</v>
      </c>
      <c r="E198" s="32" t="s">
        <v>559</v>
      </c>
      <c r="F198" s="32" t="s">
        <v>2064</v>
      </c>
      <c r="G198" s="34">
        <v>46252</v>
      </c>
      <c r="H198" s="34">
        <v>46272</v>
      </c>
      <c r="I198" s="32" t="s">
        <v>100</v>
      </c>
      <c r="J198" s="77" t="s">
        <v>621</v>
      </c>
      <c r="K198" s="301" t="s">
        <v>1364</v>
      </c>
      <c r="L198" s="81">
        <v>7300</v>
      </c>
      <c r="M198" s="141">
        <v>0</v>
      </c>
      <c r="N198" s="166">
        <v>180</v>
      </c>
      <c r="O198" s="224">
        <f>SUM(L198:N198)</f>
        <v>7480</v>
      </c>
    </row>
    <row r="199" spans="1:15">
      <c r="A199" s="114" t="s">
        <v>2065</v>
      </c>
      <c r="B199" s="106" t="s">
        <v>1827</v>
      </c>
      <c r="C199" s="33" t="s">
        <v>5</v>
      </c>
      <c r="D199" s="273" t="s">
        <v>1650</v>
      </c>
      <c r="E199" s="32" t="s">
        <v>559</v>
      </c>
      <c r="F199" s="32" t="s">
        <v>2066</v>
      </c>
      <c r="G199" s="34">
        <v>46252</v>
      </c>
      <c r="H199" s="34">
        <v>46272</v>
      </c>
      <c r="I199" s="32" t="s">
        <v>100</v>
      </c>
      <c r="J199" s="77" t="s">
        <v>621</v>
      </c>
      <c r="K199" s="301" t="s">
        <v>1364</v>
      </c>
      <c r="L199" s="81">
        <v>7300</v>
      </c>
      <c r="M199" s="141">
        <v>0</v>
      </c>
      <c r="N199" s="166">
        <v>180</v>
      </c>
      <c r="O199" s="224">
        <f>SUM(L199:N199)</f>
        <v>7480</v>
      </c>
    </row>
    <row r="200" spans="1:15" ht="27.6">
      <c r="A200" s="114" t="s">
        <v>2067</v>
      </c>
      <c r="B200" s="106" t="s">
        <v>1077</v>
      </c>
      <c r="C200" s="33" t="s">
        <v>5</v>
      </c>
      <c r="D200" s="273" t="s">
        <v>1687</v>
      </c>
      <c r="E200" s="32" t="s">
        <v>559</v>
      </c>
      <c r="F200" s="32" t="s">
        <v>2068</v>
      </c>
      <c r="G200" s="34">
        <v>46253</v>
      </c>
      <c r="H200" s="34">
        <v>46287</v>
      </c>
      <c r="I200" s="32" t="s">
        <v>89</v>
      </c>
      <c r="J200" s="77" t="s">
        <v>621</v>
      </c>
      <c r="K200" s="301" t="s">
        <v>105</v>
      </c>
      <c r="L200" s="81">
        <v>7450</v>
      </c>
      <c r="M200" s="141">
        <v>0</v>
      </c>
      <c r="N200" s="166">
        <v>0</v>
      </c>
      <c r="O200" s="224">
        <f>SUM(L200:N200)</f>
        <v>7450</v>
      </c>
    </row>
    <row r="201" spans="1:15" ht="27.6">
      <c r="A201" s="114" t="s">
        <v>2069</v>
      </c>
      <c r="B201" s="106" t="s">
        <v>1077</v>
      </c>
      <c r="C201" s="33" t="s">
        <v>5</v>
      </c>
      <c r="D201" s="273" t="s">
        <v>1687</v>
      </c>
      <c r="E201" s="32" t="s">
        <v>559</v>
      </c>
      <c r="F201" s="32" t="s">
        <v>2070</v>
      </c>
      <c r="G201" s="34">
        <v>46253</v>
      </c>
      <c r="H201" s="34">
        <v>46287</v>
      </c>
      <c r="I201" s="32" t="s">
        <v>89</v>
      </c>
      <c r="J201" s="77" t="s">
        <v>621</v>
      </c>
      <c r="K201" s="301" t="s">
        <v>105</v>
      </c>
      <c r="L201" s="81">
        <v>7450</v>
      </c>
      <c r="M201" s="141">
        <v>0</v>
      </c>
      <c r="N201" s="166">
        <v>0</v>
      </c>
      <c r="O201" s="224">
        <f>SUM(L201:N201)</f>
        <v>7450</v>
      </c>
    </row>
    <row r="202" spans="1:15" ht="27.6" customHeight="1">
      <c r="A202" s="114" t="s">
        <v>2071</v>
      </c>
      <c r="B202" s="106" t="s">
        <v>1646</v>
      </c>
      <c r="C202" s="33" t="s">
        <v>5</v>
      </c>
      <c r="D202" s="273" t="s">
        <v>1650</v>
      </c>
      <c r="E202" s="32" t="s">
        <v>559</v>
      </c>
      <c r="F202" s="32" t="s">
        <v>2072</v>
      </c>
      <c r="G202" s="34">
        <v>46257</v>
      </c>
      <c r="H202" s="34">
        <v>46288</v>
      </c>
      <c r="I202" s="32" t="s">
        <v>84</v>
      </c>
      <c r="J202" s="77" t="s">
        <v>621</v>
      </c>
      <c r="K202" s="301" t="s">
        <v>105</v>
      </c>
      <c r="L202" s="81">
        <v>7600</v>
      </c>
      <c r="M202" s="141">
        <v>0</v>
      </c>
      <c r="N202" s="166">
        <v>100</v>
      </c>
      <c r="O202" s="224">
        <f>SUM(L202:N202)</f>
        <v>7700</v>
      </c>
    </row>
    <row r="203" spans="1:15" ht="27.6" customHeight="1">
      <c r="A203" s="114" t="s">
        <v>2073</v>
      </c>
      <c r="B203" s="106" t="s">
        <v>1646</v>
      </c>
      <c r="C203" s="33" t="s">
        <v>5</v>
      </c>
      <c r="D203" s="273" t="s">
        <v>1650</v>
      </c>
      <c r="E203" s="32" t="s">
        <v>559</v>
      </c>
      <c r="F203" s="32" t="s">
        <v>2074</v>
      </c>
      <c r="G203" s="34">
        <v>46254</v>
      </c>
      <c r="H203" s="34">
        <v>46286</v>
      </c>
      <c r="I203" s="32" t="s">
        <v>100</v>
      </c>
      <c r="J203" s="77" t="s">
        <v>85</v>
      </c>
      <c r="K203" s="301" t="s">
        <v>2075</v>
      </c>
      <c r="L203" s="81">
        <v>7200</v>
      </c>
      <c r="M203" s="141">
        <v>0</v>
      </c>
      <c r="N203" s="166">
        <v>100</v>
      </c>
      <c r="O203" s="224">
        <f>SUM(L203:N203)</f>
        <v>7300</v>
      </c>
    </row>
    <row r="204" spans="1:15" ht="27.6" customHeight="1">
      <c r="A204" s="114" t="s">
        <v>2076</v>
      </c>
      <c r="B204" s="106" t="s">
        <v>1646</v>
      </c>
      <c r="C204" s="33" t="s">
        <v>5</v>
      </c>
      <c r="D204" s="273" t="s">
        <v>1650</v>
      </c>
      <c r="E204" s="32" t="s">
        <v>559</v>
      </c>
      <c r="F204" s="32" t="s">
        <v>2077</v>
      </c>
      <c r="G204" s="34">
        <v>46254</v>
      </c>
      <c r="H204" s="34">
        <v>46286</v>
      </c>
      <c r="I204" s="32" t="s">
        <v>100</v>
      </c>
      <c r="J204" s="77" t="s">
        <v>85</v>
      </c>
      <c r="K204" s="301" t="s">
        <v>2075</v>
      </c>
      <c r="L204" s="81">
        <v>7200</v>
      </c>
      <c r="M204" s="141">
        <v>0</v>
      </c>
      <c r="N204" s="166">
        <v>100</v>
      </c>
      <c r="O204" s="224">
        <f>SUM(L204:N204)</f>
        <v>7300</v>
      </c>
    </row>
    <row r="205" spans="1:15" ht="27.6" customHeight="1">
      <c r="A205" s="114" t="s">
        <v>2078</v>
      </c>
      <c r="B205" s="106" t="s">
        <v>1646</v>
      </c>
      <c r="C205" s="33" t="s">
        <v>5</v>
      </c>
      <c r="D205" s="273" t="s">
        <v>1650</v>
      </c>
      <c r="E205" s="32" t="s">
        <v>559</v>
      </c>
      <c r="F205" s="32" t="s">
        <v>2079</v>
      </c>
      <c r="G205" s="34">
        <v>46257</v>
      </c>
      <c r="H205" s="34">
        <v>46288</v>
      </c>
      <c r="I205" s="32" t="s">
        <v>84</v>
      </c>
      <c r="J205" s="77" t="s">
        <v>621</v>
      </c>
      <c r="K205" s="301" t="s">
        <v>105</v>
      </c>
      <c r="L205" s="81">
        <v>7600</v>
      </c>
      <c r="M205" s="141">
        <v>0</v>
      </c>
      <c r="N205" s="166">
        <v>100</v>
      </c>
      <c r="O205" s="224">
        <f>SUM(L205:N205)</f>
        <v>7700</v>
      </c>
    </row>
    <row r="206" spans="1:15" ht="27.6" customHeight="1">
      <c r="A206" s="114" t="s">
        <v>2080</v>
      </c>
      <c r="B206" s="106" t="s">
        <v>1917</v>
      </c>
      <c r="C206" s="33" t="s">
        <v>5</v>
      </c>
      <c r="D206" s="273" t="s">
        <v>1650</v>
      </c>
      <c r="E206" s="32" t="s">
        <v>559</v>
      </c>
      <c r="F206" s="32" t="s">
        <v>2081</v>
      </c>
      <c r="G206" s="34">
        <v>46257</v>
      </c>
      <c r="H206" s="34">
        <v>46288</v>
      </c>
      <c r="I206" s="32" t="s">
        <v>84</v>
      </c>
      <c r="J206" s="77" t="s">
        <v>621</v>
      </c>
      <c r="K206" s="301" t="s">
        <v>105</v>
      </c>
      <c r="L206" s="81">
        <v>7600</v>
      </c>
      <c r="M206" s="141">
        <v>0</v>
      </c>
      <c r="N206" s="166">
        <v>180</v>
      </c>
      <c r="O206" s="224">
        <f>SUM(L206:N206)</f>
        <v>7780</v>
      </c>
    </row>
    <row r="207" spans="1:15" ht="27.6" customHeight="1">
      <c r="A207" s="114" t="s">
        <v>2082</v>
      </c>
      <c r="B207" s="106" t="s">
        <v>1917</v>
      </c>
      <c r="C207" s="33" t="s">
        <v>5</v>
      </c>
      <c r="D207" s="273" t="s">
        <v>1650</v>
      </c>
      <c r="E207" s="32" t="s">
        <v>559</v>
      </c>
      <c r="F207" s="32" t="s">
        <v>2083</v>
      </c>
      <c r="G207" s="34">
        <v>46257</v>
      </c>
      <c r="H207" s="34">
        <v>46288</v>
      </c>
      <c r="I207" s="32" t="s">
        <v>84</v>
      </c>
      <c r="J207" s="77" t="s">
        <v>621</v>
      </c>
      <c r="K207" s="301" t="s">
        <v>105</v>
      </c>
      <c r="L207" s="81">
        <v>7600</v>
      </c>
      <c r="M207" s="141">
        <v>0</v>
      </c>
      <c r="N207" s="166">
        <v>180</v>
      </c>
      <c r="O207" s="224">
        <f>SUM(L207:N207)</f>
        <v>7780</v>
      </c>
    </row>
    <row r="208" spans="1:15" ht="27.6" customHeight="1">
      <c r="A208" s="114" t="s">
        <v>2084</v>
      </c>
      <c r="B208" s="106" t="s">
        <v>1917</v>
      </c>
      <c r="C208" s="33" t="s">
        <v>5</v>
      </c>
      <c r="D208" s="273" t="s">
        <v>1650</v>
      </c>
      <c r="E208" s="32" t="s">
        <v>559</v>
      </c>
      <c r="F208" s="32" t="s">
        <v>2085</v>
      </c>
      <c r="G208" s="34">
        <v>46257</v>
      </c>
      <c r="H208" s="34">
        <v>46288</v>
      </c>
      <c r="I208" s="32" t="s">
        <v>84</v>
      </c>
      <c r="J208" s="77" t="s">
        <v>621</v>
      </c>
      <c r="K208" s="301" t="s">
        <v>105</v>
      </c>
      <c r="L208" s="81">
        <v>7600</v>
      </c>
      <c r="M208" s="141">
        <v>0</v>
      </c>
      <c r="N208" s="166">
        <v>180</v>
      </c>
      <c r="O208" s="224">
        <f>SUM(L208:N208)</f>
        <v>7780</v>
      </c>
    </row>
    <row r="209" spans="1:15" ht="27.6" customHeight="1">
      <c r="A209" s="114" t="s">
        <v>2086</v>
      </c>
      <c r="B209" s="106" t="s">
        <v>1827</v>
      </c>
      <c r="C209" s="33" t="s">
        <v>5</v>
      </c>
      <c r="D209" s="273" t="s">
        <v>1650</v>
      </c>
      <c r="E209" s="32" t="s">
        <v>559</v>
      </c>
      <c r="F209" s="32" t="s">
        <v>2087</v>
      </c>
      <c r="G209" s="34">
        <v>46259</v>
      </c>
      <c r="H209" s="34">
        <v>46278</v>
      </c>
      <c r="I209" s="32" t="s">
        <v>100</v>
      </c>
      <c r="J209" s="77" t="s">
        <v>621</v>
      </c>
      <c r="K209" s="301" t="s">
        <v>1364</v>
      </c>
      <c r="L209" s="81">
        <v>7300</v>
      </c>
      <c r="M209" s="141">
        <v>0</v>
      </c>
      <c r="N209" s="166">
        <v>0</v>
      </c>
      <c r="O209" s="224">
        <f>SUM(L209:N209)</f>
        <v>7300</v>
      </c>
    </row>
    <row r="210" spans="1:15" ht="27.6" customHeight="1">
      <c r="A210" s="114" t="s">
        <v>2088</v>
      </c>
      <c r="B210" s="106" t="s">
        <v>1646</v>
      </c>
      <c r="C210" s="33" t="s">
        <v>5</v>
      </c>
      <c r="D210" s="273" t="s">
        <v>1650</v>
      </c>
      <c r="E210" s="32" t="s">
        <v>559</v>
      </c>
      <c r="F210" s="32" t="s">
        <v>2089</v>
      </c>
      <c r="G210" s="34">
        <v>46267</v>
      </c>
      <c r="H210" s="34">
        <v>46301</v>
      </c>
      <c r="I210" s="32" t="s">
        <v>89</v>
      </c>
      <c r="J210" s="77" t="s">
        <v>621</v>
      </c>
      <c r="K210" s="301" t="s">
        <v>105</v>
      </c>
      <c r="L210" s="81">
        <v>8750</v>
      </c>
      <c r="M210" s="141">
        <v>0</v>
      </c>
      <c r="N210" s="166">
        <v>100</v>
      </c>
      <c r="O210" s="224">
        <f>SUM(L210:N210)</f>
        <v>8850</v>
      </c>
    </row>
    <row r="211" spans="1:15" ht="27.6" customHeight="1">
      <c r="A211" s="114" t="s">
        <v>2090</v>
      </c>
      <c r="B211" s="106" t="s">
        <v>1646</v>
      </c>
      <c r="C211" s="33" t="s">
        <v>5</v>
      </c>
      <c r="D211" s="273" t="s">
        <v>1650</v>
      </c>
      <c r="E211" s="32" t="s">
        <v>559</v>
      </c>
      <c r="F211" s="32" t="s">
        <v>2091</v>
      </c>
      <c r="G211" s="34">
        <v>46256</v>
      </c>
      <c r="H211" s="34">
        <v>46281</v>
      </c>
      <c r="I211" s="32" t="s">
        <v>100</v>
      </c>
      <c r="J211" s="77" t="s">
        <v>85</v>
      </c>
      <c r="K211" s="301" t="s">
        <v>105</v>
      </c>
      <c r="L211" s="81">
        <v>8000</v>
      </c>
      <c r="M211" s="141">
        <v>0</v>
      </c>
      <c r="N211" s="166">
        <v>100</v>
      </c>
      <c r="O211" s="224">
        <f>SUM(L211:N211)</f>
        <v>8100</v>
      </c>
    </row>
    <row r="212" spans="1:15" ht="27.6" customHeight="1">
      <c r="A212" s="114" t="s">
        <v>2092</v>
      </c>
      <c r="B212" s="106" t="s">
        <v>1646</v>
      </c>
      <c r="C212" s="33" t="s">
        <v>5</v>
      </c>
      <c r="D212" s="273" t="s">
        <v>1650</v>
      </c>
      <c r="E212" s="32" t="s">
        <v>559</v>
      </c>
      <c r="F212" s="32" t="s">
        <v>2093</v>
      </c>
      <c r="G212" s="34">
        <v>46276</v>
      </c>
      <c r="H212" s="34">
        <v>46294</v>
      </c>
      <c r="I212" s="32" t="s">
        <v>100</v>
      </c>
      <c r="J212" s="77" t="s">
        <v>621</v>
      </c>
      <c r="K212" s="301" t="s">
        <v>1364</v>
      </c>
      <c r="L212" s="81">
        <v>8100</v>
      </c>
      <c r="M212" s="141">
        <v>0</v>
      </c>
      <c r="N212" s="166">
        <v>0</v>
      </c>
      <c r="O212" s="224">
        <f>SUM(L212:N212)</f>
        <v>8100</v>
      </c>
    </row>
    <row r="213" spans="1:15" ht="27.6" customHeight="1">
      <c r="A213" s="114" t="s">
        <v>2094</v>
      </c>
      <c r="B213" s="106" t="s">
        <v>1646</v>
      </c>
      <c r="C213" s="33" t="s">
        <v>5</v>
      </c>
      <c r="D213" s="273" t="s">
        <v>1650</v>
      </c>
      <c r="E213" s="32" t="s">
        <v>559</v>
      </c>
      <c r="F213" s="32" t="s">
        <v>2095</v>
      </c>
      <c r="G213" s="34">
        <v>46276</v>
      </c>
      <c r="H213" s="34">
        <v>46294</v>
      </c>
      <c r="I213" s="32" t="s">
        <v>100</v>
      </c>
      <c r="J213" s="77" t="s">
        <v>621</v>
      </c>
      <c r="K213" s="301" t="s">
        <v>1364</v>
      </c>
      <c r="L213" s="81">
        <v>8100</v>
      </c>
      <c r="M213" s="141">
        <v>0</v>
      </c>
      <c r="N213" s="166">
        <v>0</v>
      </c>
      <c r="O213" s="224">
        <f>SUM(L213:N213)</f>
        <v>8100</v>
      </c>
    </row>
    <row r="214" spans="1:15" ht="27.6" customHeight="1">
      <c r="A214" s="114" t="s">
        <v>2096</v>
      </c>
      <c r="B214" s="106" t="s">
        <v>1646</v>
      </c>
      <c r="C214" s="33" t="s">
        <v>5</v>
      </c>
      <c r="D214" s="273" t="s">
        <v>1650</v>
      </c>
      <c r="E214" s="32" t="s">
        <v>559</v>
      </c>
      <c r="F214" s="32" t="s">
        <v>2097</v>
      </c>
      <c r="G214" s="34">
        <v>46276</v>
      </c>
      <c r="H214" s="34">
        <v>46294</v>
      </c>
      <c r="I214" s="32" t="s">
        <v>100</v>
      </c>
      <c r="J214" s="77" t="s">
        <v>621</v>
      </c>
      <c r="K214" s="301" t="s">
        <v>1364</v>
      </c>
      <c r="L214" s="81">
        <v>8100</v>
      </c>
      <c r="M214" s="141">
        <v>0</v>
      </c>
      <c r="N214" s="166">
        <v>0</v>
      </c>
      <c r="O214" s="224">
        <f>SUM(L214:N214)</f>
        <v>8100</v>
      </c>
    </row>
    <row r="215" spans="1:15" ht="27.6" customHeight="1">
      <c r="A215" s="114" t="s">
        <v>2098</v>
      </c>
      <c r="B215" s="106" t="s">
        <v>1646</v>
      </c>
      <c r="C215" s="33" t="s">
        <v>5</v>
      </c>
      <c r="D215" s="273" t="s">
        <v>1650</v>
      </c>
      <c r="E215" s="32" t="s">
        <v>559</v>
      </c>
      <c r="F215" s="32" t="s">
        <v>2099</v>
      </c>
      <c r="G215" s="34">
        <v>46276</v>
      </c>
      <c r="H215" s="34">
        <v>46294</v>
      </c>
      <c r="I215" s="32" t="s">
        <v>100</v>
      </c>
      <c r="J215" s="77" t="s">
        <v>621</v>
      </c>
      <c r="K215" s="301" t="s">
        <v>1364</v>
      </c>
      <c r="L215" s="81">
        <v>8100</v>
      </c>
      <c r="M215" s="141">
        <v>0</v>
      </c>
      <c r="N215" s="166">
        <v>0</v>
      </c>
      <c r="O215" s="224">
        <f>SUM(L215:N215)</f>
        <v>8100</v>
      </c>
    </row>
    <row r="216" spans="1:15" ht="27.6" customHeight="1">
      <c r="A216" s="114" t="s">
        <v>2100</v>
      </c>
      <c r="B216" s="106" t="s">
        <v>1717</v>
      </c>
      <c r="C216" s="33" t="s">
        <v>1683</v>
      </c>
      <c r="D216" s="273" t="s">
        <v>1718</v>
      </c>
      <c r="E216" s="32" t="s">
        <v>559</v>
      </c>
      <c r="F216" s="32" t="s">
        <v>2101</v>
      </c>
      <c r="G216" s="34">
        <v>46263</v>
      </c>
      <c r="H216" s="34">
        <v>46297</v>
      </c>
      <c r="I216" s="32" t="s">
        <v>1175</v>
      </c>
      <c r="J216" s="77" t="s">
        <v>66</v>
      </c>
      <c r="K216" s="301" t="s">
        <v>105</v>
      </c>
      <c r="L216" s="81">
        <v>8050</v>
      </c>
      <c r="M216" s="141">
        <v>0</v>
      </c>
      <c r="N216" s="166">
        <v>100</v>
      </c>
      <c r="O216" s="224">
        <f>SUM(L216:N216)</f>
        <v>8150</v>
      </c>
    </row>
    <row r="217" spans="1:15" ht="27.6" customHeight="1">
      <c r="A217" s="114" t="s">
        <v>2102</v>
      </c>
      <c r="B217" s="106" t="s">
        <v>1717</v>
      </c>
      <c r="C217" s="33" t="s">
        <v>1683</v>
      </c>
      <c r="D217" s="273" t="s">
        <v>1718</v>
      </c>
      <c r="E217" s="32" t="s">
        <v>559</v>
      </c>
      <c r="F217" s="32" t="s">
        <v>2103</v>
      </c>
      <c r="G217" s="34">
        <v>46248</v>
      </c>
      <c r="H217" s="34">
        <v>46289</v>
      </c>
      <c r="I217" s="32" t="s">
        <v>89</v>
      </c>
      <c r="J217" s="77" t="s">
        <v>66</v>
      </c>
      <c r="K217" s="301" t="s">
        <v>105</v>
      </c>
      <c r="L217" s="81">
        <v>6500</v>
      </c>
      <c r="M217" s="141">
        <v>0</v>
      </c>
      <c r="N217" s="166">
        <v>100</v>
      </c>
      <c r="O217" s="224">
        <f>SUM(L217:N217)</f>
        <v>6600</v>
      </c>
    </row>
    <row r="218" spans="1:15" ht="27.6" customHeight="1">
      <c r="A218" s="114" t="s">
        <v>2104</v>
      </c>
      <c r="B218" s="106" t="s">
        <v>1717</v>
      </c>
      <c r="C218" s="33" t="s">
        <v>2105</v>
      </c>
      <c r="D218" s="273" t="s">
        <v>1718</v>
      </c>
      <c r="E218" s="32" t="s">
        <v>559</v>
      </c>
      <c r="F218" s="32" t="s">
        <v>2106</v>
      </c>
      <c r="G218" s="34">
        <v>46254</v>
      </c>
      <c r="H218" s="34">
        <v>46289</v>
      </c>
      <c r="I218" s="32" t="s">
        <v>1175</v>
      </c>
      <c r="J218" s="77" t="s">
        <v>66</v>
      </c>
      <c r="K218" s="301" t="s">
        <v>105</v>
      </c>
      <c r="L218" s="81">
        <v>7300</v>
      </c>
      <c r="M218" s="141">
        <v>0</v>
      </c>
      <c r="N218" s="166">
        <v>100</v>
      </c>
      <c r="O218" s="224">
        <f>SUM(L218:N218)</f>
        <v>7400</v>
      </c>
    </row>
    <row r="219" spans="1:15" ht="27.6" customHeight="1">
      <c r="A219" s="114" t="s">
        <v>2107</v>
      </c>
      <c r="B219" s="106" t="s">
        <v>1717</v>
      </c>
      <c r="C219" s="33" t="s">
        <v>2105</v>
      </c>
      <c r="D219" s="273" t="s">
        <v>1718</v>
      </c>
      <c r="E219" s="32" t="s">
        <v>559</v>
      </c>
      <c r="F219" s="32" t="s">
        <v>2108</v>
      </c>
      <c r="G219" s="34">
        <v>46254</v>
      </c>
      <c r="H219" s="34">
        <v>46289</v>
      </c>
      <c r="I219" s="32" t="s">
        <v>1175</v>
      </c>
      <c r="J219" s="77" t="s">
        <v>66</v>
      </c>
      <c r="K219" s="301" t="s">
        <v>105</v>
      </c>
      <c r="L219" s="81">
        <v>7300</v>
      </c>
      <c r="M219" s="141">
        <v>0</v>
      </c>
      <c r="N219" s="166">
        <v>100</v>
      </c>
      <c r="O219" s="224">
        <f>SUM(L219:N219)</f>
        <v>7400</v>
      </c>
    </row>
    <row r="220" spans="1:15" ht="27.6" customHeight="1">
      <c r="A220" s="114" t="s">
        <v>2109</v>
      </c>
      <c r="B220" s="106" t="s">
        <v>1717</v>
      </c>
      <c r="C220" s="33" t="s">
        <v>2105</v>
      </c>
      <c r="D220" s="273" t="s">
        <v>1718</v>
      </c>
      <c r="E220" s="32" t="s">
        <v>559</v>
      </c>
      <c r="F220" s="32" t="s">
        <v>2110</v>
      </c>
      <c r="G220" s="34">
        <v>46254</v>
      </c>
      <c r="H220" s="34">
        <v>46289</v>
      </c>
      <c r="I220" s="32" t="s">
        <v>1175</v>
      </c>
      <c r="J220" s="77" t="s">
        <v>66</v>
      </c>
      <c r="K220" s="301" t="s">
        <v>105</v>
      </c>
      <c r="L220" s="81">
        <v>7300</v>
      </c>
      <c r="M220" s="141">
        <v>0</v>
      </c>
      <c r="N220" s="166">
        <v>100</v>
      </c>
      <c r="O220" s="224">
        <f>SUM(L220:N220)</f>
        <v>7400</v>
      </c>
    </row>
    <row r="221" spans="1:15" ht="27.6" customHeight="1">
      <c r="A221" s="114" t="s">
        <v>2111</v>
      </c>
      <c r="B221" s="106" t="s">
        <v>1917</v>
      </c>
      <c r="C221" s="33" t="s">
        <v>5</v>
      </c>
      <c r="D221" s="273" t="s">
        <v>1650</v>
      </c>
      <c r="E221" s="32" t="s">
        <v>559</v>
      </c>
      <c r="F221" s="32" t="s">
        <v>2112</v>
      </c>
      <c r="G221" s="34">
        <v>46267</v>
      </c>
      <c r="H221" s="34">
        <v>46301</v>
      </c>
      <c r="I221" s="32" t="s">
        <v>89</v>
      </c>
      <c r="J221" s="77" t="s">
        <v>621</v>
      </c>
      <c r="K221" s="301" t="s">
        <v>105</v>
      </c>
      <c r="L221" s="81">
        <v>8750</v>
      </c>
      <c r="M221" s="141">
        <v>0</v>
      </c>
      <c r="N221" s="166">
        <v>180</v>
      </c>
      <c r="O221" s="224">
        <f>SUM(L221:N221)</f>
        <v>8930</v>
      </c>
    </row>
    <row r="222" spans="1:15" ht="27.6" customHeight="1">
      <c r="A222" s="114" t="s">
        <v>2113</v>
      </c>
      <c r="B222" s="106" t="s">
        <v>1008</v>
      </c>
      <c r="C222" s="33" t="s">
        <v>5</v>
      </c>
      <c r="D222" s="273" t="s">
        <v>1650</v>
      </c>
      <c r="E222" s="32" t="s">
        <v>559</v>
      </c>
      <c r="F222" s="32" t="s">
        <v>2114</v>
      </c>
      <c r="G222" s="34">
        <v>46267</v>
      </c>
      <c r="H222" s="34">
        <v>46301</v>
      </c>
      <c r="I222" s="32" t="s">
        <v>89</v>
      </c>
      <c r="J222" s="77" t="s">
        <v>621</v>
      </c>
      <c r="K222" s="301" t="s">
        <v>105</v>
      </c>
      <c r="L222" s="81">
        <v>8750</v>
      </c>
      <c r="M222" s="141">
        <v>0</v>
      </c>
      <c r="N222" s="166">
        <v>0</v>
      </c>
      <c r="O222" s="224">
        <f>SUM(L222:N222)</f>
        <v>8750</v>
      </c>
    </row>
    <row r="223" spans="1:15" ht="27.6" customHeight="1">
      <c r="A223" s="114" t="s">
        <v>2115</v>
      </c>
      <c r="B223" s="106" t="s">
        <v>1646</v>
      </c>
      <c r="C223" s="33" t="s">
        <v>5</v>
      </c>
      <c r="D223" s="273" t="s">
        <v>1650</v>
      </c>
      <c r="E223" s="32" t="s">
        <v>559</v>
      </c>
      <c r="F223" s="32" t="s">
        <v>2116</v>
      </c>
      <c r="G223" s="34">
        <v>46274</v>
      </c>
      <c r="H223" s="34">
        <v>46308</v>
      </c>
      <c r="I223" s="32" t="s">
        <v>89</v>
      </c>
      <c r="J223" s="77" t="s">
        <v>621</v>
      </c>
      <c r="K223" s="301" t="s">
        <v>105</v>
      </c>
      <c r="L223" s="81">
        <v>7650</v>
      </c>
      <c r="M223" s="141">
        <v>0</v>
      </c>
      <c r="N223" s="166">
        <v>100</v>
      </c>
      <c r="O223" s="224">
        <f>SUM(L223:N223)</f>
        <v>7750</v>
      </c>
    </row>
    <row r="224" spans="1:15" ht="27.6" customHeight="1">
      <c r="A224" s="114" t="s">
        <v>2117</v>
      </c>
      <c r="B224" s="106" t="s">
        <v>1646</v>
      </c>
      <c r="C224" s="33" t="s">
        <v>5</v>
      </c>
      <c r="D224" s="273" t="s">
        <v>1650</v>
      </c>
      <c r="E224" s="32" t="s">
        <v>559</v>
      </c>
      <c r="F224" s="32" t="s">
        <v>2118</v>
      </c>
      <c r="G224" s="34">
        <v>46274</v>
      </c>
      <c r="H224" s="34">
        <v>46308</v>
      </c>
      <c r="I224" s="32" t="s">
        <v>89</v>
      </c>
      <c r="J224" s="77" t="s">
        <v>621</v>
      </c>
      <c r="K224" s="301" t="s">
        <v>105</v>
      </c>
      <c r="L224" s="81">
        <v>7650</v>
      </c>
      <c r="M224" s="141">
        <v>0</v>
      </c>
      <c r="N224" s="166">
        <v>100</v>
      </c>
      <c r="O224" s="224">
        <f>SUM(L224:N224)</f>
        <v>7750</v>
      </c>
    </row>
    <row r="225" spans="1:15" ht="27.6" customHeight="1">
      <c r="A225" s="114" t="s">
        <v>2119</v>
      </c>
      <c r="B225" s="106" t="s">
        <v>1646</v>
      </c>
      <c r="C225" s="33" t="s">
        <v>5</v>
      </c>
      <c r="D225" s="273" t="s">
        <v>1650</v>
      </c>
      <c r="E225" s="32" t="s">
        <v>559</v>
      </c>
      <c r="F225" s="32" t="s">
        <v>2120</v>
      </c>
      <c r="G225" s="34">
        <v>46274</v>
      </c>
      <c r="H225" s="34">
        <v>46308</v>
      </c>
      <c r="I225" s="32" t="s">
        <v>89</v>
      </c>
      <c r="J225" s="77" t="s">
        <v>621</v>
      </c>
      <c r="K225" s="301" t="s">
        <v>105</v>
      </c>
      <c r="L225" s="81">
        <v>7650</v>
      </c>
      <c r="M225" s="141">
        <v>0</v>
      </c>
      <c r="N225" s="166">
        <v>100</v>
      </c>
      <c r="O225" s="224">
        <f>SUM(L225:N225)</f>
        <v>7750</v>
      </c>
    </row>
    <row r="226" spans="1:15" ht="27.6" customHeight="1">
      <c r="A226" s="114" t="s">
        <v>2121</v>
      </c>
      <c r="B226" s="106" t="s">
        <v>2122</v>
      </c>
      <c r="C226" s="33" t="s">
        <v>5</v>
      </c>
      <c r="D226" s="273"/>
      <c r="E226" s="32" t="s">
        <v>559</v>
      </c>
      <c r="F226" s="32" t="s">
        <v>2123</v>
      </c>
      <c r="G226" s="34">
        <v>46281</v>
      </c>
      <c r="H226" s="34">
        <v>46315</v>
      </c>
      <c r="I226" s="32" t="s">
        <v>89</v>
      </c>
      <c r="J226" s="77" t="s">
        <v>621</v>
      </c>
      <c r="K226" s="301" t="s">
        <v>105</v>
      </c>
      <c r="L226" s="81">
        <v>7300</v>
      </c>
      <c r="M226" s="141">
        <v>0</v>
      </c>
      <c r="N226" s="166">
        <v>0</v>
      </c>
      <c r="O226" s="224">
        <f>SUM(L226:N226)</f>
        <v>7300</v>
      </c>
    </row>
    <row r="227" spans="1:15" ht="27.6" customHeight="1">
      <c r="A227" s="114" t="s">
        <v>2124</v>
      </c>
      <c r="B227" s="106" t="s">
        <v>1917</v>
      </c>
      <c r="C227" s="33" t="s">
        <v>5</v>
      </c>
      <c r="D227" s="273" t="s">
        <v>1650</v>
      </c>
      <c r="E227" s="32" t="s">
        <v>559</v>
      </c>
      <c r="F227" s="32" t="s">
        <v>2125</v>
      </c>
      <c r="G227" s="34">
        <v>46274</v>
      </c>
      <c r="H227" s="34">
        <v>46308</v>
      </c>
      <c r="I227" s="32" t="s">
        <v>89</v>
      </c>
      <c r="J227" s="77" t="s">
        <v>621</v>
      </c>
      <c r="K227" s="301" t="s">
        <v>105</v>
      </c>
      <c r="L227" s="81">
        <v>7650</v>
      </c>
      <c r="M227" s="141">
        <v>0</v>
      </c>
      <c r="N227" s="166">
        <v>180</v>
      </c>
      <c r="O227" s="224">
        <f>SUM(L227:N227)</f>
        <v>7830</v>
      </c>
    </row>
    <row r="228" spans="1:15" ht="27.6" customHeight="1">
      <c r="A228" s="114" t="s">
        <v>2126</v>
      </c>
      <c r="B228" s="106" t="s">
        <v>1917</v>
      </c>
      <c r="C228" s="33" t="s">
        <v>5</v>
      </c>
      <c r="D228" s="273" t="s">
        <v>1650</v>
      </c>
      <c r="E228" s="32" t="s">
        <v>559</v>
      </c>
      <c r="F228" s="32" t="s">
        <v>2127</v>
      </c>
      <c r="G228" s="34">
        <v>46281</v>
      </c>
      <c r="H228" s="34">
        <v>46315</v>
      </c>
      <c r="I228" s="32" t="s">
        <v>89</v>
      </c>
      <c r="J228" s="77" t="s">
        <v>621</v>
      </c>
      <c r="K228" s="301" t="s">
        <v>105</v>
      </c>
      <c r="L228" s="81">
        <v>7300</v>
      </c>
      <c r="M228" s="141">
        <v>0</v>
      </c>
      <c r="N228" s="166">
        <v>180</v>
      </c>
      <c r="O228" s="224">
        <f>SUM(L228:N228)</f>
        <v>7480</v>
      </c>
    </row>
    <row r="229" spans="1:15" ht="27.6" customHeight="1">
      <c r="A229" s="114" t="s">
        <v>2128</v>
      </c>
      <c r="B229" s="106" t="s">
        <v>1646</v>
      </c>
      <c r="C229" s="33" t="s">
        <v>5</v>
      </c>
      <c r="D229" s="273" t="s">
        <v>1650</v>
      </c>
      <c r="E229" s="32" t="s">
        <v>559</v>
      </c>
      <c r="F229" s="32" t="s">
        <v>2129</v>
      </c>
      <c r="G229" s="34">
        <v>46278</v>
      </c>
      <c r="H229" s="34">
        <v>46310</v>
      </c>
      <c r="I229" s="32" t="s">
        <v>482</v>
      </c>
      <c r="J229" s="77" t="s">
        <v>85</v>
      </c>
      <c r="K229" s="301" t="s">
        <v>105</v>
      </c>
      <c r="L229" s="81">
        <v>7650</v>
      </c>
      <c r="M229" s="141">
        <v>0</v>
      </c>
      <c r="N229" s="166">
        <v>100</v>
      </c>
      <c r="O229" s="224">
        <f t="shared" ref="O229:O240" si="1">SUM(L229:N229)</f>
        <v>7750</v>
      </c>
    </row>
    <row r="230" spans="1:15" ht="27.6" customHeight="1">
      <c r="A230" s="114" t="s">
        <v>2130</v>
      </c>
      <c r="B230" s="106" t="s">
        <v>1673</v>
      </c>
      <c r="C230" s="33" t="s">
        <v>5</v>
      </c>
      <c r="D230" s="273" t="s">
        <v>1647</v>
      </c>
      <c r="E230" s="32" t="s">
        <v>559</v>
      </c>
      <c r="F230" s="32" t="s">
        <v>2131</v>
      </c>
      <c r="G230" s="34">
        <v>46268</v>
      </c>
      <c r="H230" s="34">
        <v>46328</v>
      </c>
      <c r="I230" s="32" t="s">
        <v>84</v>
      </c>
      <c r="J230" s="77" t="s">
        <v>85</v>
      </c>
      <c r="K230" s="301" t="s">
        <v>603</v>
      </c>
      <c r="L230" s="81">
        <v>7950</v>
      </c>
      <c r="M230" s="141">
        <v>1750</v>
      </c>
      <c r="N230" s="166">
        <v>0</v>
      </c>
      <c r="O230" s="224">
        <f t="shared" si="1"/>
        <v>9700</v>
      </c>
    </row>
    <row r="231" spans="1:15" ht="27.6" customHeight="1">
      <c r="A231" s="114" t="s">
        <v>2132</v>
      </c>
      <c r="B231" s="106" t="s">
        <v>1717</v>
      </c>
      <c r="C231" s="33" t="s">
        <v>5</v>
      </c>
      <c r="D231" s="273" t="s">
        <v>1718</v>
      </c>
      <c r="E231" s="32" t="s">
        <v>559</v>
      </c>
      <c r="F231" s="32" t="s">
        <v>2133</v>
      </c>
      <c r="G231" s="34">
        <v>46287</v>
      </c>
      <c r="H231" s="34">
        <v>46315</v>
      </c>
      <c r="I231" s="32" t="s">
        <v>482</v>
      </c>
      <c r="J231" s="77" t="s">
        <v>66</v>
      </c>
      <c r="K231" s="301" t="s">
        <v>105</v>
      </c>
      <c r="L231" s="81">
        <v>6250</v>
      </c>
      <c r="M231" s="141">
        <v>0</v>
      </c>
      <c r="N231" s="166">
        <v>100</v>
      </c>
      <c r="O231" s="224">
        <f t="shared" si="1"/>
        <v>6350</v>
      </c>
    </row>
    <row r="232" spans="1:15" ht="27.6" customHeight="1">
      <c r="A232" s="114" t="s">
        <v>2134</v>
      </c>
      <c r="B232" s="106" t="s">
        <v>1717</v>
      </c>
      <c r="C232" s="33" t="s">
        <v>5</v>
      </c>
      <c r="D232" s="273" t="s">
        <v>1718</v>
      </c>
      <c r="E232" s="32" t="s">
        <v>559</v>
      </c>
      <c r="F232" s="32" t="s">
        <v>2135</v>
      </c>
      <c r="G232" s="34">
        <v>46287</v>
      </c>
      <c r="H232" s="34">
        <v>46315</v>
      </c>
      <c r="I232" s="32" t="s">
        <v>482</v>
      </c>
      <c r="J232" s="77" t="s">
        <v>66</v>
      </c>
      <c r="K232" s="301" t="s">
        <v>105</v>
      </c>
      <c r="L232" s="81">
        <v>6250</v>
      </c>
      <c r="M232" s="141">
        <v>0</v>
      </c>
      <c r="N232" s="166">
        <v>100</v>
      </c>
      <c r="O232" s="224">
        <f t="shared" si="1"/>
        <v>6350</v>
      </c>
    </row>
    <row r="233" spans="1:15" ht="27.6" customHeight="1">
      <c r="A233" s="114" t="s">
        <v>2136</v>
      </c>
      <c r="B233" s="106" t="s">
        <v>1717</v>
      </c>
      <c r="C233" s="33" t="s">
        <v>5</v>
      </c>
      <c r="D233" s="273" t="s">
        <v>1718</v>
      </c>
      <c r="E233" s="32" t="s">
        <v>559</v>
      </c>
      <c r="F233" s="32" t="s">
        <v>2137</v>
      </c>
      <c r="G233" s="34">
        <v>46287</v>
      </c>
      <c r="H233" s="34">
        <v>46315</v>
      </c>
      <c r="I233" s="32" t="s">
        <v>482</v>
      </c>
      <c r="J233" s="77" t="s">
        <v>66</v>
      </c>
      <c r="K233" s="301" t="s">
        <v>105</v>
      </c>
      <c r="L233" s="81">
        <v>6250</v>
      </c>
      <c r="M233" s="141">
        <v>0</v>
      </c>
      <c r="N233" s="166">
        <v>100</v>
      </c>
      <c r="O233" s="224">
        <f t="shared" si="1"/>
        <v>6350</v>
      </c>
    </row>
    <row r="234" spans="1:15" ht="27.6" customHeight="1">
      <c r="A234" s="114" t="s">
        <v>2138</v>
      </c>
      <c r="B234" s="106" t="s">
        <v>1854</v>
      </c>
      <c r="C234" s="33" t="s">
        <v>5</v>
      </c>
      <c r="D234" s="273" t="s">
        <v>1650</v>
      </c>
      <c r="E234" s="32" t="s">
        <v>559</v>
      </c>
      <c r="F234" s="32" t="s">
        <v>2139</v>
      </c>
      <c r="G234" s="34">
        <v>46266</v>
      </c>
      <c r="H234" s="34">
        <v>46294</v>
      </c>
      <c r="I234" s="32" t="s">
        <v>100</v>
      </c>
      <c r="J234" s="77" t="s">
        <v>85</v>
      </c>
      <c r="K234" s="301" t="s">
        <v>1364</v>
      </c>
      <c r="L234" s="81">
        <v>8150</v>
      </c>
      <c r="M234" s="141">
        <v>0</v>
      </c>
      <c r="N234" s="166">
        <v>0</v>
      </c>
      <c r="O234" s="224">
        <f t="shared" si="1"/>
        <v>8150</v>
      </c>
    </row>
    <row r="235" spans="1:15" ht="27.6">
      <c r="A235" s="114" t="s">
        <v>2140</v>
      </c>
      <c r="B235" s="106" t="s">
        <v>2141</v>
      </c>
      <c r="C235" s="260" t="s">
        <v>2142</v>
      </c>
      <c r="D235" s="273"/>
      <c r="E235" s="32" t="s">
        <v>559</v>
      </c>
      <c r="F235" s="32" t="s">
        <v>2143</v>
      </c>
      <c r="G235" s="34">
        <v>46261</v>
      </c>
      <c r="H235" s="34">
        <v>46310</v>
      </c>
      <c r="I235" s="32" t="s">
        <v>84</v>
      </c>
      <c r="J235" s="77" t="s">
        <v>645</v>
      </c>
      <c r="K235" s="301" t="s">
        <v>86</v>
      </c>
      <c r="L235" s="81">
        <f>7600+900</f>
        <v>8500</v>
      </c>
      <c r="M235" s="141">
        <v>1700</v>
      </c>
      <c r="N235" s="141">
        <v>100</v>
      </c>
      <c r="O235" s="224">
        <f t="shared" si="1"/>
        <v>10300</v>
      </c>
    </row>
    <row r="236" spans="1:15">
      <c r="A236" s="429" t="s">
        <v>2144</v>
      </c>
      <c r="B236" s="423" t="s">
        <v>1646</v>
      </c>
      <c r="C236" s="424" t="s">
        <v>5</v>
      </c>
      <c r="D236" s="435" t="s">
        <v>1650</v>
      </c>
      <c r="E236" s="425" t="s">
        <v>559</v>
      </c>
      <c r="F236" s="425" t="s">
        <v>2145</v>
      </c>
      <c r="G236" s="426">
        <v>46295</v>
      </c>
      <c r="H236" s="426">
        <v>46331</v>
      </c>
      <c r="I236" s="425" t="s">
        <v>89</v>
      </c>
      <c r="J236" s="430" t="s">
        <v>621</v>
      </c>
      <c r="K236" s="436" t="s">
        <v>105</v>
      </c>
      <c r="L236" s="432">
        <v>6100</v>
      </c>
      <c r="M236" s="437">
        <v>0</v>
      </c>
      <c r="N236" s="437">
        <v>100</v>
      </c>
      <c r="O236" s="224">
        <f t="shared" si="1"/>
        <v>6200</v>
      </c>
    </row>
    <row r="237" spans="1:15">
      <c r="A237" s="429" t="s">
        <v>2146</v>
      </c>
      <c r="B237" s="423" t="s">
        <v>1646</v>
      </c>
      <c r="C237" s="424" t="s">
        <v>5</v>
      </c>
      <c r="D237" s="435" t="s">
        <v>1650</v>
      </c>
      <c r="E237" s="425" t="s">
        <v>559</v>
      </c>
      <c r="F237" s="425" t="s">
        <v>2147</v>
      </c>
      <c r="G237" s="426">
        <v>46302</v>
      </c>
      <c r="H237" s="426">
        <v>46336</v>
      </c>
      <c r="I237" s="425" t="s">
        <v>89</v>
      </c>
      <c r="J237" s="430" t="s">
        <v>621</v>
      </c>
      <c r="K237" s="436" t="s">
        <v>105</v>
      </c>
      <c r="L237" s="432">
        <v>6150</v>
      </c>
      <c r="M237" s="437">
        <v>0</v>
      </c>
      <c r="N237" s="437">
        <v>100</v>
      </c>
      <c r="O237" s="224">
        <f t="shared" si="1"/>
        <v>6250</v>
      </c>
    </row>
    <row r="238" spans="1:15">
      <c r="A238" s="429" t="s">
        <v>2148</v>
      </c>
      <c r="B238" s="423" t="s">
        <v>1646</v>
      </c>
      <c r="C238" s="424" t="s">
        <v>5</v>
      </c>
      <c r="D238" s="435" t="s">
        <v>1650</v>
      </c>
      <c r="E238" s="425" t="s">
        <v>559</v>
      </c>
      <c r="F238" s="425" t="s">
        <v>2149</v>
      </c>
      <c r="G238" s="426">
        <v>46297</v>
      </c>
      <c r="H238" s="426">
        <v>46322</v>
      </c>
      <c r="I238" s="425" t="s">
        <v>482</v>
      </c>
      <c r="J238" s="430" t="s">
        <v>85</v>
      </c>
      <c r="K238" s="436" t="s">
        <v>105</v>
      </c>
      <c r="L238" s="432">
        <v>5950</v>
      </c>
      <c r="M238" s="437">
        <v>0</v>
      </c>
      <c r="N238" s="437">
        <v>100</v>
      </c>
      <c r="O238" s="224">
        <f t="shared" si="1"/>
        <v>6050</v>
      </c>
    </row>
    <row r="239" spans="1:15">
      <c r="A239" s="429" t="s">
        <v>2150</v>
      </c>
      <c r="B239" s="423" t="s">
        <v>2122</v>
      </c>
      <c r="C239" s="424" t="s">
        <v>5</v>
      </c>
      <c r="D239" s="435"/>
      <c r="E239" s="425" t="s">
        <v>559</v>
      </c>
      <c r="F239" s="425" t="s">
        <v>2151</v>
      </c>
      <c r="G239" s="426">
        <v>46288</v>
      </c>
      <c r="H239" s="426">
        <v>46322</v>
      </c>
      <c r="I239" s="425" t="s">
        <v>89</v>
      </c>
      <c r="J239" s="430" t="s">
        <v>621</v>
      </c>
      <c r="K239" s="436" t="s">
        <v>105</v>
      </c>
      <c r="L239" s="432">
        <v>6150</v>
      </c>
      <c r="M239" s="437">
        <v>0</v>
      </c>
      <c r="N239" s="437">
        <v>0</v>
      </c>
      <c r="O239" s="224">
        <f t="shared" si="1"/>
        <v>6150</v>
      </c>
    </row>
    <row r="240" spans="1:15">
      <c r="A240" s="429" t="s">
        <v>2152</v>
      </c>
      <c r="B240" s="423" t="s">
        <v>1717</v>
      </c>
      <c r="C240" s="424" t="s">
        <v>2105</v>
      </c>
      <c r="D240" s="435" t="s">
        <v>1718</v>
      </c>
      <c r="E240" s="425" t="s">
        <v>559</v>
      </c>
      <c r="F240" s="425" t="s">
        <v>2153</v>
      </c>
      <c r="G240" s="426">
        <v>46301</v>
      </c>
      <c r="H240" s="426">
        <v>46336</v>
      </c>
      <c r="I240" s="425" t="s">
        <v>482</v>
      </c>
      <c r="J240" s="430" t="s">
        <v>66</v>
      </c>
      <c r="K240" s="436" t="s">
        <v>105</v>
      </c>
      <c r="L240" s="432">
        <v>5850</v>
      </c>
      <c r="M240" s="437">
        <v>0</v>
      </c>
      <c r="N240" s="437">
        <v>100</v>
      </c>
      <c r="O240" s="224">
        <f t="shared" si="1"/>
        <v>5950</v>
      </c>
    </row>
    <row r="241" spans="4:16">
      <c r="L241" s="144">
        <f>SUM(L3:L240)</f>
        <v>1277325</v>
      </c>
      <c r="M241" s="144">
        <f>SUM(M3:M240)</f>
        <v>7320</v>
      </c>
      <c r="N241" s="144">
        <f>SUM(N3:N240)</f>
        <v>19200</v>
      </c>
      <c r="O241" s="144">
        <f>SUM(O3:O240)</f>
        <v>1300445</v>
      </c>
    </row>
    <row r="243" spans="4:16">
      <c r="O243" s="132" t="s">
        <v>56</v>
      </c>
      <c r="P243" s="133" t="s">
        <v>57</v>
      </c>
    </row>
    <row r="244" spans="4:16">
      <c r="O244" s="74">
        <v>46148</v>
      </c>
      <c r="P244" s="76">
        <v>40000</v>
      </c>
    </row>
    <row r="245" spans="4:16">
      <c r="O245" s="74">
        <v>46161</v>
      </c>
      <c r="P245" s="76">
        <v>22000</v>
      </c>
    </row>
    <row r="246" spans="4:16">
      <c r="O246" s="74">
        <v>46209</v>
      </c>
      <c r="P246" s="76">
        <v>40000</v>
      </c>
    </row>
    <row r="247" spans="4:16">
      <c r="O247" s="74">
        <v>46217</v>
      </c>
      <c r="P247" s="76">
        <v>70000</v>
      </c>
    </row>
    <row r="248" spans="4:16">
      <c r="O248" s="74">
        <v>46223</v>
      </c>
      <c r="P248" s="76">
        <v>30000</v>
      </c>
    </row>
    <row r="249" spans="4:16">
      <c r="O249" s="74">
        <v>46233</v>
      </c>
      <c r="P249" s="76">
        <v>80000</v>
      </c>
    </row>
    <row r="250" spans="4:16">
      <c r="O250" s="74">
        <v>46239</v>
      </c>
      <c r="P250" s="76">
        <v>70000</v>
      </c>
    </row>
    <row r="251" spans="4:16">
      <c r="O251" s="74">
        <v>46253</v>
      </c>
      <c r="P251" s="76">
        <v>120000</v>
      </c>
    </row>
    <row r="252" spans="4:16">
      <c r="D252"/>
      <c r="O252" s="74">
        <v>46260</v>
      </c>
      <c r="P252" s="76">
        <v>157858.63</v>
      </c>
    </row>
    <row r="253" spans="4:16">
      <c r="D253"/>
      <c r="O253" s="74">
        <v>46274</v>
      </c>
      <c r="P253" s="76">
        <v>110000</v>
      </c>
    </row>
    <row r="254" spans="4:16">
      <c r="D254"/>
      <c r="O254" s="74">
        <v>46279</v>
      </c>
      <c r="P254" s="76">
        <v>36000</v>
      </c>
    </row>
    <row r="255" spans="4:16">
      <c r="D255"/>
      <c r="O255" s="74">
        <v>46288</v>
      </c>
      <c r="P255" s="76">
        <v>50000</v>
      </c>
    </row>
    <row r="256" spans="4:16">
      <c r="D256"/>
      <c r="O256" s="74">
        <v>46294</v>
      </c>
      <c r="P256" s="76">
        <v>45000</v>
      </c>
    </row>
    <row r="257" spans="4:16">
      <c r="D257"/>
      <c r="O257" s="74">
        <v>46213</v>
      </c>
      <c r="P257" s="76">
        <v>70000</v>
      </c>
    </row>
    <row r="258" spans="4:16">
      <c r="D258"/>
      <c r="O258" s="74">
        <v>46303</v>
      </c>
      <c r="P258" s="76">
        <v>8000</v>
      </c>
    </row>
    <row r="259" spans="4:16">
      <c r="D259"/>
      <c r="P259" s="371"/>
    </row>
    <row r="260" spans="4:16" ht="21">
      <c r="D260"/>
      <c r="O260" s="115">
        <f>SUM(O3:O240)-SUM(P243:P260)</f>
        <v>351586.37</v>
      </c>
    </row>
  </sheetData>
  <autoFilter ref="A2:O241" xr:uid="{77EC21BB-2879-4D65-A536-C622BCC807D2}">
    <sortState xmlns:xlrd2="http://schemas.microsoft.com/office/spreadsheetml/2017/richdata2" ref="A3:O241">
      <sortCondition ref="A2:A241"/>
    </sortState>
  </autoFilter>
  <sortState xmlns:xlrd2="http://schemas.microsoft.com/office/spreadsheetml/2017/richdata2" ref="A3:O90">
    <sortCondition ref="H3:H90"/>
  </sortState>
  <conditionalFormatting sqref="A36:A41">
    <cfRule type="duplicateValues" dxfId="2620" priority="823"/>
    <cfRule type="duplicateValues" dxfId="2619" priority="824"/>
    <cfRule type="duplicateValues" dxfId="2618" priority="825"/>
    <cfRule type="duplicateValues" dxfId="2617" priority="826"/>
    <cfRule type="duplicateValues" dxfId="2616" priority="827"/>
    <cfRule type="duplicateValues" dxfId="2615" priority="828"/>
    <cfRule type="duplicateValues" dxfId="2614" priority="829"/>
    <cfRule type="duplicateValues" dxfId="2613" priority="830"/>
    <cfRule type="duplicateValues" dxfId="2612" priority="831"/>
    <cfRule type="duplicateValues" dxfId="2611" priority="832"/>
    <cfRule type="duplicateValues" dxfId="2610" priority="833"/>
    <cfRule type="duplicateValues" dxfId="2609" priority="834"/>
    <cfRule type="duplicateValues" dxfId="2608" priority="841"/>
    <cfRule type="duplicateValues" dxfId="2607" priority="843"/>
    <cfRule type="duplicateValues" dxfId="2606" priority="844"/>
  </conditionalFormatting>
  <conditionalFormatting sqref="A42:A46 F42:F46">
    <cfRule type="duplicateValues" dxfId="2605" priority="745"/>
  </conditionalFormatting>
  <conditionalFormatting sqref="A42:A46">
    <cfRule type="duplicateValues" dxfId="2604" priority="723"/>
    <cfRule type="duplicateValues" dxfId="2603" priority="724"/>
    <cfRule type="duplicateValues" dxfId="2602" priority="725"/>
    <cfRule type="duplicateValues" dxfId="2601" priority="726"/>
    <cfRule type="duplicateValues" dxfId="2600" priority="727"/>
    <cfRule type="duplicateValues" dxfId="2599" priority="728"/>
    <cfRule type="duplicateValues" dxfId="2598" priority="729"/>
    <cfRule type="duplicateValues" dxfId="2597" priority="730"/>
    <cfRule type="duplicateValues" dxfId="2596" priority="731"/>
    <cfRule type="duplicateValues" dxfId="2595" priority="732"/>
    <cfRule type="duplicateValues" dxfId="2594" priority="733"/>
    <cfRule type="duplicateValues" dxfId="2593" priority="734"/>
    <cfRule type="duplicateValues" dxfId="2592" priority="741"/>
    <cfRule type="duplicateValues" dxfId="2591" priority="743"/>
    <cfRule type="duplicateValues" dxfId="2590" priority="744"/>
  </conditionalFormatting>
  <conditionalFormatting sqref="A47 F47">
    <cfRule type="duplicateValues" dxfId="2589" priority="692"/>
  </conditionalFormatting>
  <conditionalFormatting sqref="A47">
    <cfRule type="duplicateValues" dxfId="2588" priority="670"/>
    <cfRule type="duplicateValues" dxfId="2587" priority="671"/>
    <cfRule type="duplicateValues" dxfId="2586" priority="672"/>
    <cfRule type="duplicateValues" dxfId="2585" priority="673"/>
    <cfRule type="duplicateValues" dxfId="2584" priority="674"/>
    <cfRule type="duplicateValues" dxfId="2583" priority="675"/>
    <cfRule type="duplicateValues" dxfId="2582" priority="676"/>
    <cfRule type="duplicateValues" dxfId="2581" priority="677"/>
    <cfRule type="duplicateValues" dxfId="2580" priority="678"/>
    <cfRule type="duplicateValues" dxfId="2579" priority="679"/>
    <cfRule type="duplicateValues" dxfId="2578" priority="680"/>
    <cfRule type="duplicateValues" dxfId="2577" priority="681"/>
    <cfRule type="duplicateValues" dxfId="2576" priority="688"/>
    <cfRule type="duplicateValues" dxfId="2575" priority="690"/>
    <cfRule type="duplicateValues" dxfId="2574" priority="691"/>
  </conditionalFormatting>
  <conditionalFormatting sqref="A48:A49 F48:F49">
    <cfRule type="duplicateValues" dxfId="2573" priority="720"/>
  </conditionalFormatting>
  <conditionalFormatting sqref="A48:A49">
    <cfRule type="duplicateValues" dxfId="2572" priority="698"/>
    <cfRule type="duplicateValues" dxfId="2571" priority="699"/>
    <cfRule type="duplicateValues" dxfId="2570" priority="700"/>
    <cfRule type="duplicateValues" dxfId="2569" priority="701"/>
    <cfRule type="duplicateValues" dxfId="2568" priority="702"/>
    <cfRule type="duplicateValues" dxfId="2567" priority="703"/>
    <cfRule type="duplicateValues" dxfId="2566" priority="704"/>
    <cfRule type="duplicateValues" dxfId="2565" priority="705"/>
    <cfRule type="duplicateValues" dxfId="2564" priority="706"/>
    <cfRule type="duplicateValues" dxfId="2563" priority="707"/>
    <cfRule type="duplicateValues" dxfId="2562" priority="708"/>
    <cfRule type="duplicateValues" dxfId="2561" priority="709"/>
    <cfRule type="duplicateValues" dxfId="2560" priority="716"/>
    <cfRule type="duplicateValues" dxfId="2559" priority="718"/>
    <cfRule type="duplicateValues" dxfId="2558" priority="719"/>
  </conditionalFormatting>
  <conditionalFormatting sqref="A50:A57">
    <cfRule type="duplicateValues" dxfId="2557" priority="3179"/>
    <cfRule type="duplicateValues" dxfId="2556" priority="3180"/>
    <cfRule type="duplicateValues" dxfId="2555" priority="3181"/>
    <cfRule type="duplicateValues" dxfId="2554" priority="3182"/>
    <cfRule type="duplicateValues" dxfId="2553" priority="3183"/>
    <cfRule type="duplicateValues" dxfId="2552" priority="3184"/>
    <cfRule type="duplicateValues" dxfId="2551" priority="3185"/>
    <cfRule type="duplicateValues" dxfId="2550" priority="3186"/>
    <cfRule type="duplicateValues" dxfId="2549" priority="3187"/>
    <cfRule type="duplicateValues" dxfId="2548" priority="3188"/>
    <cfRule type="duplicateValues" dxfId="2547" priority="3189"/>
    <cfRule type="duplicateValues" dxfId="2546" priority="3190"/>
    <cfRule type="duplicateValues" dxfId="2545" priority="3191"/>
    <cfRule type="duplicateValues" dxfId="2544" priority="3192"/>
    <cfRule type="duplicateValues" dxfId="2543" priority="3193"/>
  </conditionalFormatting>
  <conditionalFormatting sqref="A58:A62 F58:F62">
    <cfRule type="duplicateValues" dxfId="2542" priority="613"/>
  </conditionalFormatting>
  <conditionalFormatting sqref="A58:A62">
    <cfRule type="duplicateValues" dxfId="2541" priority="591"/>
    <cfRule type="duplicateValues" dxfId="2540" priority="592"/>
    <cfRule type="duplicateValues" dxfId="2539" priority="593"/>
    <cfRule type="duplicateValues" dxfId="2538" priority="594"/>
    <cfRule type="duplicateValues" dxfId="2537" priority="595"/>
    <cfRule type="duplicateValues" dxfId="2536" priority="596"/>
    <cfRule type="duplicateValues" dxfId="2535" priority="597"/>
    <cfRule type="duplicateValues" dxfId="2534" priority="598"/>
    <cfRule type="duplicateValues" dxfId="2533" priority="599"/>
    <cfRule type="duplicateValues" dxfId="2532" priority="600"/>
    <cfRule type="duplicateValues" dxfId="2531" priority="601"/>
    <cfRule type="duplicateValues" dxfId="2530" priority="602"/>
    <cfRule type="duplicateValues" dxfId="2529" priority="609"/>
    <cfRule type="duplicateValues" dxfId="2528" priority="611"/>
    <cfRule type="duplicateValues" dxfId="2527" priority="612"/>
    <cfRule type="duplicateValues" dxfId="2526" priority="616"/>
    <cfRule type="duplicateValues" dxfId="2525" priority="617"/>
  </conditionalFormatting>
  <conditionalFormatting sqref="A63:A71 F63:F71">
    <cfRule type="duplicateValues" dxfId="2524" priority="619"/>
  </conditionalFormatting>
  <conditionalFormatting sqref="A63:A71">
    <cfRule type="duplicateValues" dxfId="2523" priority="620"/>
    <cfRule type="duplicateValues" dxfId="2522" priority="621"/>
    <cfRule type="duplicateValues" dxfId="2521" priority="622"/>
    <cfRule type="duplicateValues" dxfId="2520" priority="623"/>
    <cfRule type="duplicateValues" dxfId="2519" priority="624"/>
    <cfRule type="duplicateValues" dxfId="2518" priority="625"/>
    <cfRule type="duplicateValues" dxfId="2517" priority="626"/>
    <cfRule type="duplicateValues" dxfId="2516" priority="627"/>
    <cfRule type="duplicateValues" dxfId="2515" priority="628"/>
    <cfRule type="duplicateValues" dxfId="2514" priority="629"/>
    <cfRule type="duplicateValues" dxfId="2513" priority="630"/>
    <cfRule type="duplicateValues" dxfId="2512" priority="631"/>
    <cfRule type="duplicateValues" dxfId="2511" priority="632"/>
    <cfRule type="duplicateValues" dxfId="2510" priority="633"/>
    <cfRule type="duplicateValues" dxfId="2509" priority="634"/>
  </conditionalFormatting>
  <conditionalFormatting sqref="A72:A90">
    <cfRule type="duplicateValues" dxfId="2508" priority="481"/>
    <cfRule type="duplicateValues" dxfId="2507" priority="482"/>
    <cfRule type="duplicateValues" dxfId="2506" priority="483"/>
    <cfRule type="duplicateValues" dxfId="2505" priority="484"/>
    <cfRule type="duplicateValues" dxfId="2504" priority="485"/>
    <cfRule type="duplicateValues" dxfId="2503" priority="486"/>
    <cfRule type="duplicateValues" dxfId="2502" priority="487"/>
    <cfRule type="duplicateValues" dxfId="2501" priority="488"/>
    <cfRule type="duplicateValues" dxfId="2500" priority="489"/>
    <cfRule type="duplicateValues" dxfId="2499" priority="490"/>
    <cfRule type="duplicateValues" dxfId="2498" priority="491"/>
    <cfRule type="duplicateValues" dxfId="2497" priority="492"/>
    <cfRule type="duplicateValues" dxfId="2496" priority="493"/>
    <cfRule type="duplicateValues" dxfId="2495" priority="494"/>
    <cfRule type="duplicateValues" dxfId="2494" priority="495"/>
  </conditionalFormatting>
  <conditionalFormatting sqref="A78:A81 F78:F81">
    <cfRule type="duplicateValues" dxfId="2493" priority="566"/>
  </conditionalFormatting>
  <conditionalFormatting sqref="A78:A81">
    <cfRule type="duplicateValues" dxfId="2492" priority="567"/>
    <cfRule type="duplicateValues" dxfId="2491" priority="568"/>
    <cfRule type="duplicateValues" dxfId="2490" priority="569"/>
    <cfRule type="duplicateValues" dxfId="2489" priority="570"/>
    <cfRule type="duplicateValues" dxfId="2488" priority="571"/>
    <cfRule type="duplicateValues" dxfId="2487" priority="572"/>
    <cfRule type="duplicateValues" dxfId="2486" priority="573"/>
    <cfRule type="duplicateValues" dxfId="2485" priority="574"/>
    <cfRule type="duplicateValues" dxfId="2484" priority="575"/>
    <cfRule type="duplicateValues" dxfId="2483" priority="576"/>
    <cfRule type="duplicateValues" dxfId="2482" priority="577"/>
    <cfRule type="duplicateValues" dxfId="2481" priority="578"/>
    <cfRule type="duplicateValues" dxfId="2480" priority="579"/>
    <cfRule type="duplicateValues" dxfId="2479" priority="580"/>
    <cfRule type="duplicateValues" dxfId="2478" priority="581"/>
  </conditionalFormatting>
  <conditionalFormatting sqref="A82 F82">
    <cfRule type="duplicateValues" dxfId="2477" priority="541"/>
  </conditionalFormatting>
  <conditionalFormatting sqref="A82">
    <cfRule type="duplicateValues" dxfId="2476" priority="542"/>
    <cfRule type="duplicateValues" dxfId="2475" priority="543"/>
    <cfRule type="duplicateValues" dxfId="2474" priority="544"/>
    <cfRule type="duplicateValues" dxfId="2473" priority="545"/>
    <cfRule type="duplicateValues" dxfId="2472" priority="546"/>
    <cfRule type="duplicateValues" dxfId="2471" priority="547"/>
    <cfRule type="duplicateValues" dxfId="2470" priority="548"/>
    <cfRule type="duplicateValues" dxfId="2469" priority="549"/>
    <cfRule type="duplicateValues" dxfId="2468" priority="550"/>
    <cfRule type="duplicateValues" dxfId="2467" priority="551"/>
    <cfRule type="duplicateValues" dxfId="2466" priority="552"/>
    <cfRule type="duplicateValues" dxfId="2465" priority="553"/>
    <cfRule type="duplicateValues" dxfId="2464" priority="554"/>
    <cfRule type="duplicateValues" dxfId="2463" priority="555"/>
    <cfRule type="duplicateValues" dxfId="2462" priority="556"/>
  </conditionalFormatting>
  <conditionalFormatting sqref="A91:A106 F91:F106">
    <cfRule type="duplicateValues" dxfId="2461" priority="430"/>
  </conditionalFormatting>
  <conditionalFormatting sqref="A91:A106">
    <cfRule type="duplicateValues" dxfId="2460" priority="431"/>
    <cfRule type="duplicateValues" dxfId="2459" priority="432"/>
    <cfRule type="duplicateValues" dxfId="2458" priority="433"/>
    <cfRule type="duplicateValues" dxfId="2457" priority="434"/>
    <cfRule type="duplicateValues" dxfId="2456" priority="435"/>
    <cfRule type="duplicateValues" dxfId="2455" priority="436"/>
    <cfRule type="duplicateValues" dxfId="2454" priority="437"/>
    <cfRule type="duplicateValues" dxfId="2453" priority="438"/>
    <cfRule type="duplicateValues" dxfId="2452" priority="439"/>
    <cfRule type="duplicateValues" dxfId="2451" priority="440"/>
    <cfRule type="duplicateValues" dxfId="2450" priority="441"/>
    <cfRule type="duplicateValues" dxfId="2449" priority="442"/>
    <cfRule type="duplicateValues" dxfId="2448" priority="443"/>
    <cfRule type="duplicateValues" dxfId="2447" priority="444"/>
    <cfRule type="duplicateValues" dxfId="2446" priority="445"/>
  </conditionalFormatting>
  <conditionalFormatting sqref="A107:A115 F107:F115">
    <cfRule type="duplicateValues" dxfId="2445" priority="323"/>
  </conditionalFormatting>
  <conditionalFormatting sqref="A107:A115">
    <cfRule type="duplicateValues" dxfId="2444" priority="324"/>
    <cfRule type="duplicateValues" dxfId="2443" priority="325"/>
    <cfRule type="duplicateValues" dxfId="2442" priority="326"/>
    <cfRule type="duplicateValues" dxfId="2441" priority="327"/>
    <cfRule type="duplicateValues" dxfId="2440" priority="328"/>
    <cfRule type="duplicateValues" dxfId="2439" priority="329"/>
    <cfRule type="duplicateValues" dxfId="2438" priority="330"/>
    <cfRule type="duplicateValues" dxfId="2437" priority="331"/>
    <cfRule type="duplicateValues" dxfId="2436" priority="332"/>
    <cfRule type="duplicateValues" dxfId="2435" priority="333"/>
    <cfRule type="duplicateValues" dxfId="2434" priority="334"/>
    <cfRule type="duplicateValues" dxfId="2433" priority="335"/>
    <cfRule type="duplicateValues" dxfId="2432" priority="336"/>
    <cfRule type="duplicateValues" dxfId="2431" priority="337"/>
    <cfRule type="duplicateValues" dxfId="2430" priority="338"/>
  </conditionalFormatting>
  <conditionalFormatting sqref="A116:A133 F116:F133">
    <cfRule type="duplicateValues" dxfId="2429" priority="298"/>
  </conditionalFormatting>
  <conditionalFormatting sqref="A116:A133">
    <cfRule type="duplicateValues" dxfId="2428" priority="299"/>
    <cfRule type="duplicateValues" dxfId="2427" priority="300"/>
    <cfRule type="duplicateValues" dxfId="2426" priority="301"/>
    <cfRule type="duplicateValues" dxfId="2425" priority="302"/>
    <cfRule type="duplicateValues" dxfId="2424" priority="303"/>
    <cfRule type="duplicateValues" dxfId="2423" priority="304"/>
    <cfRule type="duplicateValues" dxfId="2422" priority="305"/>
    <cfRule type="duplicateValues" dxfId="2421" priority="306"/>
    <cfRule type="duplicateValues" dxfId="2420" priority="307"/>
    <cfRule type="duplicateValues" dxfId="2419" priority="308"/>
    <cfRule type="duplicateValues" dxfId="2418" priority="309"/>
    <cfRule type="duplicateValues" dxfId="2417" priority="310"/>
    <cfRule type="duplicateValues" dxfId="2416" priority="311"/>
    <cfRule type="duplicateValues" dxfId="2415" priority="312"/>
    <cfRule type="duplicateValues" dxfId="2414" priority="313"/>
  </conditionalFormatting>
  <conditionalFormatting sqref="A134:A153 F134:F153">
    <cfRule type="duplicateValues" dxfId="2413" priority="273"/>
  </conditionalFormatting>
  <conditionalFormatting sqref="A134:A153">
    <cfRule type="duplicateValues" dxfId="2412" priority="274"/>
    <cfRule type="duplicateValues" dxfId="2411" priority="275"/>
    <cfRule type="duplicateValues" dxfId="2410" priority="276"/>
    <cfRule type="duplicateValues" dxfId="2409" priority="277"/>
    <cfRule type="duplicateValues" dxfId="2408" priority="278"/>
    <cfRule type="duplicateValues" dxfId="2407" priority="279"/>
    <cfRule type="duplicateValues" dxfId="2406" priority="280"/>
    <cfRule type="duplicateValues" dxfId="2405" priority="281"/>
    <cfRule type="duplicateValues" dxfId="2404" priority="282"/>
    <cfRule type="duplicateValues" dxfId="2403" priority="283"/>
    <cfRule type="duplicateValues" dxfId="2402" priority="284"/>
    <cfRule type="duplicateValues" dxfId="2401" priority="285"/>
    <cfRule type="duplicateValues" dxfId="2400" priority="286"/>
    <cfRule type="duplicateValues" dxfId="2399" priority="287"/>
    <cfRule type="duplicateValues" dxfId="2398" priority="288"/>
  </conditionalFormatting>
  <conditionalFormatting sqref="A154:A171">
    <cfRule type="duplicateValues" dxfId="2397" priority="3659"/>
    <cfRule type="duplicateValues" dxfId="2396" priority="3660"/>
    <cfRule type="duplicateValues" dxfId="2395" priority="3661"/>
    <cfRule type="duplicateValues" dxfId="2394" priority="3662"/>
    <cfRule type="duplicateValues" dxfId="2393" priority="3663"/>
    <cfRule type="duplicateValues" dxfId="2392" priority="3664"/>
    <cfRule type="duplicateValues" dxfId="2391" priority="3665"/>
    <cfRule type="duplicateValues" dxfId="2390" priority="3666"/>
    <cfRule type="duplicateValues" dxfId="2389" priority="3667"/>
    <cfRule type="duplicateValues" dxfId="2388" priority="3668"/>
    <cfRule type="duplicateValues" dxfId="2387" priority="3669"/>
    <cfRule type="duplicateValues" dxfId="2386" priority="3670"/>
    <cfRule type="duplicateValues" dxfId="2385" priority="3671"/>
    <cfRule type="duplicateValues" dxfId="2384" priority="3672"/>
    <cfRule type="duplicateValues" dxfId="2383" priority="3673"/>
  </conditionalFormatting>
  <conditionalFormatting sqref="A172:A189 F172:F189">
    <cfRule type="duplicateValues" dxfId="2382" priority="222"/>
  </conditionalFormatting>
  <conditionalFormatting sqref="A172:A189">
    <cfRule type="duplicateValues" dxfId="2381" priority="223"/>
    <cfRule type="duplicateValues" dxfId="2380" priority="224"/>
    <cfRule type="duplicateValues" dxfId="2379" priority="225"/>
    <cfRule type="duplicateValues" dxfId="2378" priority="226"/>
    <cfRule type="duplicateValues" dxfId="2377" priority="227"/>
    <cfRule type="duplicateValues" dxfId="2376" priority="228"/>
    <cfRule type="duplicateValues" dxfId="2375" priority="229"/>
    <cfRule type="duplicateValues" dxfId="2374" priority="230"/>
    <cfRule type="duplicateValues" dxfId="2373" priority="231"/>
    <cfRule type="duplicateValues" dxfId="2372" priority="232"/>
    <cfRule type="duplicateValues" dxfId="2371" priority="233"/>
    <cfRule type="duplicateValues" dxfId="2370" priority="234"/>
    <cfRule type="duplicateValues" dxfId="2369" priority="235"/>
    <cfRule type="duplicateValues" dxfId="2368" priority="236"/>
    <cfRule type="duplicateValues" dxfId="2367" priority="237"/>
  </conditionalFormatting>
  <conditionalFormatting sqref="A190:A209 F190:F209">
    <cfRule type="duplicateValues" dxfId="2366" priority="197"/>
  </conditionalFormatting>
  <conditionalFormatting sqref="A190:A209">
    <cfRule type="duplicateValues" dxfId="2365" priority="198"/>
    <cfRule type="duplicateValues" dxfId="2364" priority="199"/>
    <cfRule type="duplicateValues" dxfId="2363" priority="200"/>
    <cfRule type="duplicateValues" dxfId="2362" priority="201"/>
    <cfRule type="duplicateValues" dxfId="2361" priority="202"/>
    <cfRule type="duplicateValues" dxfId="2360" priority="203"/>
    <cfRule type="duplicateValues" dxfId="2359" priority="204"/>
    <cfRule type="duplicateValues" dxfId="2358" priority="205"/>
    <cfRule type="duplicateValues" dxfId="2357" priority="206"/>
    <cfRule type="duplicateValues" dxfId="2356" priority="207"/>
    <cfRule type="duplicateValues" dxfId="2355" priority="208"/>
    <cfRule type="duplicateValues" dxfId="2354" priority="209"/>
    <cfRule type="duplicateValues" dxfId="2353" priority="210"/>
    <cfRule type="duplicateValues" dxfId="2352" priority="211"/>
    <cfRule type="duplicateValues" dxfId="2351" priority="212"/>
  </conditionalFormatting>
  <conditionalFormatting sqref="A210:A222 F210:F222">
    <cfRule type="duplicateValues" dxfId="2350" priority="147"/>
  </conditionalFormatting>
  <conditionalFormatting sqref="A210:A222">
    <cfRule type="duplicateValues" dxfId="2349" priority="148"/>
    <cfRule type="duplicateValues" dxfId="2348" priority="149"/>
    <cfRule type="duplicateValues" dxfId="2347" priority="150"/>
    <cfRule type="duplicateValues" dxfId="2346" priority="151"/>
    <cfRule type="duplicateValues" dxfId="2345" priority="152"/>
    <cfRule type="duplicateValues" dxfId="2344" priority="153"/>
    <cfRule type="duplicateValues" dxfId="2343" priority="154"/>
    <cfRule type="duplicateValues" dxfId="2342" priority="155"/>
    <cfRule type="duplicateValues" dxfId="2341" priority="156"/>
    <cfRule type="duplicateValues" dxfId="2340" priority="157"/>
    <cfRule type="duplicateValues" dxfId="2339" priority="158"/>
    <cfRule type="duplicateValues" dxfId="2338" priority="159"/>
    <cfRule type="duplicateValues" dxfId="2337" priority="160"/>
    <cfRule type="duplicateValues" dxfId="2336" priority="161"/>
    <cfRule type="duplicateValues" dxfId="2335" priority="162"/>
  </conditionalFormatting>
  <conditionalFormatting sqref="A223:A228 F223:F228">
    <cfRule type="duplicateValues" dxfId="2334" priority="122"/>
  </conditionalFormatting>
  <conditionalFormatting sqref="A223:A228">
    <cfRule type="duplicateValues" dxfId="2333" priority="123"/>
    <cfRule type="duplicateValues" dxfId="2332" priority="124"/>
    <cfRule type="duplicateValues" dxfId="2331" priority="125"/>
    <cfRule type="duplicateValues" dxfId="2330" priority="126"/>
    <cfRule type="duplicateValues" dxfId="2329" priority="127"/>
    <cfRule type="duplicateValues" dxfId="2328" priority="128"/>
    <cfRule type="duplicateValues" dxfId="2327" priority="129"/>
    <cfRule type="duplicateValues" dxfId="2326" priority="130"/>
    <cfRule type="duplicateValues" dxfId="2325" priority="131"/>
    <cfRule type="duplicateValues" dxfId="2324" priority="132"/>
    <cfRule type="duplicateValues" dxfId="2323" priority="133"/>
    <cfRule type="duplicateValues" dxfId="2322" priority="134"/>
    <cfRule type="duplicateValues" dxfId="2321" priority="135"/>
    <cfRule type="duplicateValues" dxfId="2320" priority="136"/>
    <cfRule type="duplicateValues" dxfId="2319" priority="137"/>
  </conditionalFormatting>
  <conditionalFormatting sqref="A229:A234 F229:F234">
    <cfRule type="duplicateValues" dxfId="2318" priority="59"/>
  </conditionalFormatting>
  <conditionalFormatting sqref="A229:A234">
    <cfRule type="duplicateValues" dxfId="2317" priority="60"/>
    <cfRule type="duplicateValues" dxfId="2316" priority="61"/>
    <cfRule type="duplicateValues" dxfId="2315" priority="62"/>
    <cfRule type="duplicateValues" dxfId="2314" priority="63"/>
    <cfRule type="duplicateValues" dxfId="2313" priority="64"/>
    <cfRule type="duplicateValues" dxfId="2312" priority="65"/>
    <cfRule type="duplicateValues" dxfId="2311" priority="66"/>
    <cfRule type="duplicateValues" dxfId="2310" priority="67"/>
    <cfRule type="duplicateValues" dxfId="2309" priority="68"/>
    <cfRule type="duplicateValues" dxfId="2308" priority="69"/>
    <cfRule type="duplicateValues" dxfId="2307" priority="70"/>
    <cfRule type="duplicateValues" dxfId="2306" priority="71"/>
    <cfRule type="duplicateValues" dxfId="2305" priority="72"/>
    <cfRule type="duplicateValues" dxfId="2304" priority="73"/>
    <cfRule type="duplicateValues" dxfId="2303" priority="74"/>
  </conditionalFormatting>
  <conditionalFormatting sqref="A235:A240 F235:F240">
    <cfRule type="duplicateValues" dxfId="2302" priority="1"/>
  </conditionalFormatting>
  <conditionalFormatting sqref="A235:A240">
    <cfRule type="duplicateValues" dxfId="2301" priority="2"/>
    <cfRule type="duplicateValues" dxfId="2300" priority="3"/>
    <cfRule type="duplicateValues" dxfId="2299" priority="4"/>
    <cfRule type="duplicateValues" dxfId="2298" priority="5"/>
    <cfRule type="duplicateValues" dxfId="2297" priority="6"/>
    <cfRule type="duplicateValues" dxfId="2296" priority="7"/>
    <cfRule type="duplicateValues" dxfId="2295" priority="8"/>
    <cfRule type="duplicateValues" dxfId="2294" priority="9"/>
    <cfRule type="duplicateValues" dxfId="2293" priority="10"/>
    <cfRule type="duplicateValues" dxfId="2292" priority="11"/>
    <cfRule type="duplicateValues" dxfId="2291" priority="12"/>
    <cfRule type="duplicateValues" dxfId="2290" priority="13"/>
    <cfRule type="duplicateValues" dxfId="2289" priority="14"/>
    <cfRule type="duplicateValues" dxfId="2288" priority="15"/>
    <cfRule type="duplicateValues" dxfId="2287" priority="16"/>
  </conditionalFormatting>
  <conditionalFormatting sqref="A252:A1048576 A1:A35">
    <cfRule type="duplicateValues" dxfId="2286" priority="2959"/>
    <cfRule type="duplicateValues" dxfId="2285" priority="2960"/>
    <cfRule type="duplicateValues" dxfId="2284" priority="2961"/>
    <cfRule type="duplicateValues" dxfId="2283" priority="3960"/>
    <cfRule type="duplicateValues" dxfId="2282" priority="3961"/>
    <cfRule type="duplicateValues" dxfId="2281" priority="3962"/>
    <cfRule type="duplicateValues" dxfId="2280" priority="3963"/>
    <cfRule type="duplicateValues" dxfId="2279" priority="3964"/>
  </conditionalFormatting>
  <conditionalFormatting sqref="A252:A1048576 A1:A57 A63:A240">
    <cfRule type="duplicateValues" dxfId="2278" priority="669"/>
    <cfRule type="duplicateValues" dxfId="2277" priority="697"/>
  </conditionalFormatting>
  <conditionalFormatting sqref="A252:A1048576 A1:A240">
    <cfRule type="duplicateValues" dxfId="2276" priority="272"/>
  </conditionalFormatting>
  <conditionalFormatting sqref="C252:C260">
    <cfRule type="duplicateValues" dxfId="2275" priority="3898"/>
    <cfRule type="duplicateValues" dxfId="2274" priority="3899"/>
    <cfRule type="duplicateValues" dxfId="2273" priority="3900"/>
    <cfRule type="duplicateValues" dxfId="2272" priority="3901"/>
    <cfRule type="duplicateValues" dxfId="2271" priority="3902"/>
    <cfRule type="duplicateValues" dxfId="2270" priority="3903"/>
    <cfRule type="duplicateValues" dxfId="2269" priority="3904"/>
    <cfRule type="duplicateValues" dxfId="2268" priority="3905"/>
    <cfRule type="duplicateValues" dxfId="2267" priority="3906"/>
    <cfRule type="duplicateValues" dxfId="2266" priority="3907"/>
    <cfRule type="duplicateValues" dxfId="2265" priority="3908"/>
    <cfRule type="duplicateValues" dxfId="2264" priority="3909"/>
    <cfRule type="duplicateValues" dxfId="2263" priority="3910"/>
    <cfRule type="duplicateValues" dxfId="2262" priority="3911"/>
    <cfRule type="duplicateValues" dxfId="2261" priority="3912"/>
    <cfRule type="duplicateValues" dxfId="2260" priority="3913"/>
    <cfRule type="duplicateValues" dxfId="2259" priority="3914"/>
    <cfRule type="duplicateValues" dxfId="2258" priority="3915"/>
  </conditionalFormatting>
  <conditionalFormatting sqref="D252:D260">
    <cfRule type="duplicateValues" dxfId="2257" priority="3934"/>
    <cfRule type="duplicateValues" dxfId="2256" priority="3935"/>
    <cfRule type="duplicateValues" dxfId="2255" priority="3936"/>
    <cfRule type="duplicateValues" dxfId="2254" priority="3937"/>
    <cfRule type="duplicateValues" dxfId="2253" priority="3938"/>
    <cfRule type="duplicateValues" dxfId="2252" priority="3939"/>
    <cfRule type="duplicateValues" dxfId="2251" priority="3940"/>
    <cfRule type="duplicateValues" dxfId="2250" priority="3941"/>
    <cfRule type="duplicateValues" dxfId="2249" priority="3942"/>
    <cfRule type="duplicateValues" dxfId="2248" priority="3943"/>
    <cfRule type="duplicateValues" dxfId="2247" priority="3944"/>
    <cfRule type="duplicateValues" dxfId="2246" priority="3945"/>
    <cfRule type="duplicateValues" dxfId="2245" priority="3946"/>
    <cfRule type="duplicateValues" dxfId="2244" priority="3947"/>
    <cfRule type="duplicateValues" dxfId="2243" priority="3948"/>
    <cfRule type="duplicateValues" dxfId="2242" priority="3949"/>
    <cfRule type="duplicateValues" dxfId="2241" priority="3950"/>
    <cfRule type="duplicateValues" dxfId="2240" priority="3951"/>
  </conditionalFormatting>
  <conditionalFormatting sqref="F36:F41 A36:A41">
    <cfRule type="duplicateValues" dxfId="2239" priority="845"/>
  </conditionalFormatting>
  <conditionalFormatting sqref="F36:F41">
    <cfRule type="duplicateValues" dxfId="2238" priority="835"/>
    <cfRule type="duplicateValues" dxfId="2237" priority="836"/>
    <cfRule type="duplicateValues" dxfId="2236" priority="837"/>
    <cfRule type="duplicateValues" dxfId="2235" priority="838"/>
    <cfRule type="duplicateValues" dxfId="2234" priority="839"/>
    <cfRule type="duplicateValues" dxfId="2233" priority="840"/>
    <cfRule type="duplicateValues" dxfId="2232" priority="842"/>
    <cfRule type="duplicateValues" dxfId="2231" priority="846"/>
    <cfRule type="duplicateValues" dxfId="2230" priority="847"/>
  </conditionalFormatting>
  <conditionalFormatting sqref="F42:F46">
    <cfRule type="duplicateValues" dxfId="2229" priority="735"/>
    <cfRule type="duplicateValues" dxfId="2228" priority="736"/>
    <cfRule type="duplicateValues" dxfId="2227" priority="737"/>
    <cfRule type="duplicateValues" dxfId="2226" priority="738"/>
    <cfRule type="duplicateValues" dxfId="2225" priority="739"/>
    <cfRule type="duplicateValues" dxfId="2224" priority="740"/>
    <cfRule type="duplicateValues" dxfId="2223" priority="742"/>
    <cfRule type="duplicateValues" dxfId="2222" priority="746"/>
    <cfRule type="duplicateValues" dxfId="2221" priority="747"/>
  </conditionalFormatting>
  <conditionalFormatting sqref="F47">
    <cfRule type="duplicateValues" dxfId="2220" priority="682"/>
    <cfRule type="duplicateValues" dxfId="2219" priority="683"/>
    <cfRule type="duplicateValues" dxfId="2218" priority="684"/>
    <cfRule type="duplicateValues" dxfId="2217" priority="685"/>
    <cfRule type="duplicateValues" dxfId="2216" priority="686"/>
    <cfRule type="duplicateValues" dxfId="2215" priority="687"/>
    <cfRule type="duplicateValues" dxfId="2214" priority="689"/>
    <cfRule type="duplicateValues" dxfId="2213" priority="693"/>
    <cfRule type="duplicateValues" dxfId="2212" priority="694"/>
  </conditionalFormatting>
  <conditionalFormatting sqref="F48:F49">
    <cfRule type="duplicateValues" dxfId="2211" priority="710"/>
    <cfRule type="duplicateValues" dxfId="2210" priority="711"/>
    <cfRule type="duplicateValues" dxfId="2209" priority="712"/>
    <cfRule type="duplicateValues" dxfId="2208" priority="713"/>
    <cfRule type="duplicateValues" dxfId="2207" priority="714"/>
    <cfRule type="duplicateValues" dxfId="2206" priority="715"/>
    <cfRule type="duplicateValues" dxfId="2205" priority="717"/>
    <cfRule type="duplicateValues" dxfId="2204" priority="721"/>
    <cfRule type="duplicateValues" dxfId="2203" priority="722"/>
  </conditionalFormatting>
  <conditionalFormatting sqref="F50:F57 A50:A57">
    <cfRule type="duplicateValues" dxfId="2202" priority="3177"/>
  </conditionalFormatting>
  <conditionalFormatting sqref="F50:F57">
    <cfRule type="duplicateValues" dxfId="2201" priority="3194"/>
    <cfRule type="duplicateValues" dxfId="2200" priority="3195"/>
    <cfRule type="duplicateValues" dxfId="2199" priority="3196"/>
    <cfRule type="duplicateValues" dxfId="2198" priority="3197"/>
    <cfRule type="duplicateValues" dxfId="2197" priority="3198"/>
    <cfRule type="duplicateValues" dxfId="2196" priority="3199"/>
    <cfRule type="duplicateValues" dxfId="2195" priority="3200"/>
    <cfRule type="duplicateValues" dxfId="2194" priority="3201"/>
    <cfRule type="duplicateValues" dxfId="2193" priority="3202"/>
  </conditionalFormatting>
  <conditionalFormatting sqref="F58:F62">
    <cfRule type="duplicateValues" dxfId="2192" priority="603"/>
    <cfRule type="duplicateValues" dxfId="2191" priority="604"/>
    <cfRule type="duplicateValues" dxfId="2190" priority="605"/>
    <cfRule type="duplicateValues" dxfId="2189" priority="606"/>
    <cfRule type="duplicateValues" dxfId="2188" priority="607"/>
    <cfRule type="duplicateValues" dxfId="2187" priority="608"/>
    <cfRule type="duplicateValues" dxfId="2186" priority="610"/>
    <cfRule type="duplicateValues" dxfId="2185" priority="614"/>
    <cfRule type="duplicateValues" dxfId="2184" priority="615"/>
    <cfRule type="duplicateValues" dxfId="2183" priority="618"/>
  </conditionalFormatting>
  <conditionalFormatting sqref="F63:F71">
    <cfRule type="duplicateValues" dxfId="2182" priority="635"/>
    <cfRule type="duplicateValues" dxfId="2181" priority="636"/>
    <cfRule type="duplicateValues" dxfId="2180" priority="637"/>
    <cfRule type="duplicateValues" dxfId="2179" priority="638"/>
    <cfRule type="duplicateValues" dxfId="2178" priority="639"/>
    <cfRule type="duplicateValues" dxfId="2177" priority="640"/>
    <cfRule type="duplicateValues" dxfId="2176" priority="641"/>
    <cfRule type="duplicateValues" dxfId="2175" priority="642"/>
    <cfRule type="duplicateValues" dxfId="2174" priority="643"/>
  </conditionalFormatting>
  <conditionalFormatting sqref="F72:F90 A72:A90">
    <cfRule type="duplicateValues" dxfId="2173" priority="480"/>
  </conditionalFormatting>
  <conditionalFormatting sqref="F72:F90">
    <cfRule type="duplicateValues" dxfId="2172" priority="496"/>
    <cfRule type="duplicateValues" dxfId="2171" priority="497"/>
    <cfRule type="duplicateValues" dxfId="2170" priority="498"/>
    <cfRule type="duplicateValues" dxfId="2169" priority="499"/>
    <cfRule type="duplicateValues" dxfId="2168" priority="500"/>
    <cfRule type="duplicateValues" dxfId="2167" priority="501"/>
    <cfRule type="duplicateValues" dxfId="2166" priority="502"/>
    <cfRule type="duplicateValues" dxfId="2165" priority="503"/>
    <cfRule type="duplicateValues" dxfId="2164" priority="504"/>
  </conditionalFormatting>
  <conditionalFormatting sqref="F78:F81">
    <cfRule type="duplicateValues" dxfId="2163" priority="582"/>
    <cfRule type="duplicateValues" dxfId="2162" priority="583"/>
    <cfRule type="duplicateValues" dxfId="2161" priority="584"/>
    <cfRule type="duplicateValues" dxfId="2160" priority="585"/>
    <cfRule type="duplicateValues" dxfId="2159" priority="586"/>
    <cfRule type="duplicateValues" dxfId="2158" priority="587"/>
    <cfRule type="duplicateValues" dxfId="2157" priority="588"/>
    <cfRule type="duplicateValues" dxfId="2156" priority="589"/>
    <cfRule type="duplicateValues" dxfId="2155" priority="590"/>
  </conditionalFormatting>
  <conditionalFormatting sqref="F82">
    <cfRule type="duplicateValues" dxfId="2154" priority="557"/>
    <cfRule type="duplicateValues" dxfId="2153" priority="558"/>
    <cfRule type="duplicateValues" dxfId="2152" priority="559"/>
    <cfRule type="duplicateValues" dxfId="2151" priority="560"/>
    <cfRule type="duplicateValues" dxfId="2150" priority="561"/>
    <cfRule type="duplicateValues" dxfId="2149" priority="562"/>
    <cfRule type="duplicateValues" dxfId="2148" priority="563"/>
    <cfRule type="duplicateValues" dxfId="2147" priority="564"/>
    <cfRule type="duplicateValues" dxfId="2146" priority="565"/>
  </conditionalFormatting>
  <conditionalFormatting sqref="F91:F106">
    <cfRule type="duplicateValues" dxfId="2145" priority="446"/>
    <cfRule type="duplicateValues" dxfId="2144" priority="447"/>
    <cfRule type="duplicateValues" dxfId="2143" priority="448"/>
    <cfRule type="duplicateValues" dxfId="2142" priority="449"/>
    <cfRule type="duplicateValues" dxfId="2141" priority="450"/>
    <cfRule type="duplicateValues" dxfId="2140" priority="451"/>
    <cfRule type="duplicateValues" dxfId="2139" priority="452"/>
    <cfRule type="duplicateValues" dxfId="2138" priority="453"/>
    <cfRule type="duplicateValues" dxfId="2137" priority="454"/>
  </conditionalFormatting>
  <conditionalFormatting sqref="F107:F115">
    <cfRule type="duplicateValues" dxfId="2136" priority="339"/>
    <cfRule type="duplicateValues" dxfId="2135" priority="340"/>
    <cfRule type="duplicateValues" dxfId="2134" priority="341"/>
    <cfRule type="duplicateValues" dxfId="2133" priority="342"/>
    <cfRule type="duplicateValues" dxfId="2132" priority="343"/>
    <cfRule type="duplicateValues" dxfId="2131" priority="344"/>
    <cfRule type="duplicateValues" dxfId="2130" priority="345"/>
    <cfRule type="duplicateValues" dxfId="2129" priority="346"/>
    <cfRule type="duplicateValues" dxfId="2128" priority="347"/>
  </conditionalFormatting>
  <conditionalFormatting sqref="F116:F133">
    <cfRule type="duplicateValues" dxfId="2127" priority="314"/>
    <cfRule type="duplicateValues" dxfId="2126" priority="315"/>
    <cfRule type="duplicateValues" dxfId="2125" priority="316"/>
    <cfRule type="duplicateValues" dxfId="2124" priority="317"/>
    <cfRule type="duplicateValues" dxfId="2123" priority="318"/>
    <cfRule type="duplicateValues" dxfId="2122" priority="319"/>
    <cfRule type="duplicateValues" dxfId="2121" priority="320"/>
    <cfRule type="duplicateValues" dxfId="2120" priority="321"/>
    <cfRule type="duplicateValues" dxfId="2119" priority="322"/>
  </conditionalFormatting>
  <conditionalFormatting sqref="F134:F153">
    <cfRule type="duplicateValues" dxfId="2118" priority="289"/>
    <cfRule type="duplicateValues" dxfId="2117" priority="290"/>
    <cfRule type="duplicateValues" dxfId="2116" priority="291"/>
    <cfRule type="duplicateValues" dxfId="2115" priority="292"/>
    <cfRule type="duplicateValues" dxfId="2114" priority="293"/>
    <cfRule type="duplicateValues" dxfId="2113" priority="294"/>
    <cfRule type="duplicateValues" dxfId="2112" priority="295"/>
    <cfRule type="duplicateValues" dxfId="2111" priority="296"/>
    <cfRule type="duplicateValues" dxfId="2110" priority="297"/>
  </conditionalFormatting>
  <conditionalFormatting sqref="F154:F171 A154:A171">
    <cfRule type="duplicateValues" dxfId="2109" priority="3655"/>
  </conditionalFormatting>
  <conditionalFormatting sqref="F154:F171">
    <cfRule type="duplicateValues" dxfId="2108" priority="3704"/>
    <cfRule type="duplicateValues" dxfId="2107" priority="3705"/>
    <cfRule type="duplicateValues" dxfId="2106" priority="3706"/>
    <cfRule type="duplicateValues" dxfId="2105" priority="3707"/>
    <cfRule type="duplicateValues" dxfId="2104" priority="3708"/>
    <cfRule type="duplicateValues" dxfId="2103" priority="3709"/>
    <cfRule type="duplicateValues" dxfId="2102" priority="3710"/>
    <cfRule type="duplicateValues" dxfId="2101" priority="3711"/>
    <cfRule type="duplicateValues" dxfId="2100" priority="3712"/>
  </conditionalFormatting>
  <conditionalFormatting sqref="F172:F189">
    <cfRule type="duplicateValues" dxfId="2099" priority="238"/>
    <cfRule type="duplicateValues" dxfId="2098" priority="239"/>
    <cfRule type="duplicateValues" dxfId="2097" priority="240"/>
    <cfRule type="duplicateValues" dxfId="2096" priority="241"/>
    <cfRule type="duplicateValues" dxfId="2095" priority="242"/>
    <cfRule type="duplicateValues" dxfId="2094" priority="243"/>
    <cfRule type="duplicateValues" dxfId="2093" priority="244"/>
    <cfRule type="duplicateValues" dxfId="2092" priority="245"/>
    <cfRule type="duplicateValues" dxfId="2091" priority="246"/>
  </conditionalFormatting>
  <conditionalFormatting sqref="F190:F209">
    <cfRule type="duplicateValues" dxfId="2090" priority="213"/>
    <cfRule type="duplicateValues" dxfId="2089" priority="214"/>
    <cfRule type="duplicateValues" dxfId="2088" priority="215"/>
    <cfRule type="duplicateValues" dxfId="2087" priority="216"/>
    <cfRule type="duplicateValues" dxfId="2086" priority="217"/>
    <cfRule type="duplicateValues" dxfId="2085" priority="218"/>
    <cfRule type="duplicateValues" dxfId="2084" priority="219"/>
    <cfRule type="duplicateValues" dxfId="2083" priority="220"/>
    <cfRule type="duplicateValues" dxfId="2082" priority="221"/>
  </conditionalFormatting>
  <conditionalFormatting sqref="F210:F222">
    <cfRule type="duplicateValues" dxfId="2081" priority="163"/>
    <cfRule type="duplicateValues" dxfId="2080" priority="164"/>
    <cfRule type="duplicateValues" dxfId="2079" priority="165"/>
    <cfRule type="duplicateValues" dxfId="2078" priority="166"/>
    <cfRule type="duplicateValues" dxfId="2077" priority="167"/>
    <cfRule type="duplicateValues" dxfId="2076" priority="168"/>
    <cfRule type="duplicateValues" dxfId="2075" priority="169"/>
    <cfRule type="duplicateValues" dxfId="2074" priority="170"/>
    <cfRule type="duplicateValues" dxfId="2073" priority="171"/>
  </conditionalFormatting>
  <conditionalFormatting sqref="F223:F228">
    <cfRule type="duplicateValues" dxfId="2072" priority="138"/>
    <cfRule type="duplicateValues" dxfId="2071" priority="139"/>
    <cfRule type="duplicateValues" dxfId="2070" priority="140"/>
    <cfRule type="duplicateValues" dxfId="2069" priority="141"/>
    <cfRule type="duplicateValues" dxfId="2068" priority="142"/>
    <cfRule type="duplicateValues" dxfId="2067" priority="143"/>
    <cfRule type="duplicateValues" dxfId="2066" priority="144"/>
    <cfRule type="duplicateValues" dxfId="2065" priority="145"/>
    <cfRule type="duplicateValues" dxfId="2064" priority="146"/>
  </conditionalFormatting>
  <conditionalFormatting sqref="F229:F234">
    <cfRule type="duplicateValues" dxfId="2063" priority="75"/>
    <cfRule type="duplicateValues" dxfId="2062" priority="76"/>
    <cfRule type="duplicateValues" dxfId="2061" priority="77"/>
    <cfRule type="duplicateValues" dxfId="2060" priority="78"/>
    <cfRule type="duplicateValues" dxfId="2059" priority="79"/>
    <cfRule type="duplicateValues" dxfId="2058" priority="80"/>
    <cfRule type="duplicateValues" dxfId="2057" priority="81"/>
    <cfRule type="duplicateValues" dxfId="2056" priority="82"/>
    <cfRule type="duplicateValues" dxfId="2055" priority="83"/>
  </conditionalFormatting>
  <conditionalFormatting sqref="F235:F240">
    <cfRule type="duplicateValues" dxfId="2054" priority="17"/>
    <cfRule type="duplicateValues" dxfId="2053" priority="18"/>
    <cfRule type="duplicateValues" dxfId="2052" priority="19"/>
    <cfRule type="duplicateValues" dxfId="2051" priority="20"/>
    <cfRule type="duplicateValues" dxfId="2050" priority="21"/>
    <cfRule type="duplicateValues" dxfId="2049" priority="22"/>
    <cfRule type="duplicateValues" dxfId="2048" priority="23"/>
    <cfRule type="duplicateValues" dxfId="2047" priority="24"/>
    <cfRule type="duplicateValues" dxfId="2046" priority="25"/>
  </conditionalFormatting>
  <conditionalFormatting sqref="F252:F1048576 F1:F57 F63:F240">
    <cfRule type="duplicateValues" dxfId="2045" priority="822"/>
  </conditionalFormatting>
  <conditionalFormatting sqref="F261:F1048576 F252:F259 F1:F35">
    <cfRule type="duplicateValues" dxfId="2044" priority="2986"/>
    <cfRule type="duplicateValues" dxfId="2043" priority="2987"/>
    <cfRule type="duplicateValues" dxfId="2042" priority="2992"/>
    <cfRule type="duplicateValues" dxfId="2041" priority="2993"/>
    <cfRule type="duplicateValues" dxfId="2040" priority="2994"/>
    <cfRule type="duplicateValues" dxfId="2039" priority="2995"/>
    <cfRule type="duplicateValues" dxfId="2038" priority="2996"/>
  </conditionalFormatting>
  <conditionalFormatting sqref="Q132">
    <cfRule type="duplicateValues" dxfId="2037" priority="103"/>
    <cfRule type="duplicateValues" dxfId="2036" priority="104"/>
    <cfRule type="duplicateValues" dxfId="2035" priority="105"/>
    <cfRule type="duplicateValues" dxfId="2034" priority="106"/>
    <cfRule type="duplicateValues" dxfId="2033" priority="107"/>
    <cfRule type="duplicateValues" dxfId="2032" priority="108"/>
    <cfRule type="duplicateValues" dxfId="2031" priority="109"/>
    <cfRule type="duplicateValues" dxfId="2030" priority="110"/>
    <cfRule type="duplicateValues" dxfId="2029" priority="111"/>
    <cfRule type="duplicateValues" dxfId="2028" priority="112"/>
    <cfRule type="duplicateValues" dxfId="2027" priority="113"/>
    <cfRule type="duplicateValues" dxfId="2026" priority="114"/>
    <cfRule type="duplicateValues" dxfId="2025" priority="115"/>
    <cfRule type="duplicateValues" dxfId="2024" priority="116"/>
    <cfRule type="duplicateValues" dxfId="2023" priority="117"/>
    <cfRule type="duplicateValues" dxfId="2022" priority="118"/>
    <cfRule type="duplicateValues" dxfId="2021" priority="119"/>
    <cfRule type="duplicateValues" dxfId="2020" priority="120"/>
    <cfRule type="duplicateValues" dxfId="2019" priority="121"/>
  </conditionalFormatting>
  <conditionalFormatting sqref="Q133">
    <cfRule type="duplicateValues" dxfId="2018" priority="84"/>
    <cfRule type="duplicateValues" dxfId="2017" priority="85"/>
    <cfRule type="duplicateValues" dxfId="2016" priority="86"/>
    <cfRule type="duplicateValues" dxfId="2015" priority="87"/>
    <cfRule type="duplicateValues" dxfId="2014" priority="88"/>
    <cfRule type="duplicateValues" dxfId="2013" priority="89"/>
    <cfRule type="duplicateValues" dxfId="2012" priority="90"/>
    <cfRule type="duplicateValues" dxfId="2011" priority="91"/>
    <cfRule type="duplicateValues" dxfId="2010" priority="92"/>
    <cfRule type="duplicateValues" dxfId="2009" priority="93"/>
    <cfRule type="duplicateValues" dxfId="2008" priority="94"/>
    <cfRule type="duplicateValues" dxfId="2007" priority="95"/>
    <cfRule type="duplicateValues" dxfId="2006" priority="96"/>
    <cfRule type="duplicateValues" dxfId="2005" priority="97"/>
    <cfRule type="duplicateValues" dxfId="2004" priority="98"/>
    <cfRule type="duplicateValues" dxfId="2003" priority="99"/>
    <cfRule type="duplicateValues" dxfId="2002" priority="100"/>
    <cfRule type="duplicateValues" dxfId="2001" priority="101"/>
    <cfRule type="duplicateValues" dxfId="2000" priority="102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9B621-7DFE-46E5-B6C5-A6BA6A536A8B}">
  <sheetPr codeName="Hoja19">
    <tabColor theme="5" tint="-0.499984740745262"/>
  </sheetPr>
  <dimension ref="A1:T24"/>
  <sheetViews>
    <sheetView workbookViewId="0">
      <selection activeCell="B12" sqref="B12"/>
    </sheetView>
  </sheetViews>
  <sheetFormatPr defaultColWidth="11.42578125" defaultRowHeight="14.45"/>
  <cols>
    <col min="1" max="1" width="21.42578125" customWidth="1"/>
    <col min="2" max="2" width="17.42578125" customWidth="1"/>
    <col min="3" max="3" width="18.7109375" customWidth="1"/>
    <col min="4" max="4" width="13.42578125" bestFit="1" customWidth="1"/>
    <col min="5" max="6" width="5.7109375" bestFit="1" customWidth="1"/>
    <col min="7" max="7" width="9.28515625" customWidth="1"/>
    <col min="8" max="8" width="10.7109375" customWidth="1"/>
    <col min="9" max="9" width="18.140625" customWidth="1"/>
    <col min="10" max="11" width="10.7109375" style="1" customWidth="1"/>
    <col min="12" max="12" width="12.85546875" style="1" customWidth="1"/>
  </cols>
  <sheetData>
    <row r="1" spans="1:20" ht="18">
      <c r="J1"/>
      <c r="K1"/>
      <c r="L1" s="94">
        <f>(SUM(J3:J143)+SUM(K3:K143))-SUM(O4:O15)</f>
        <v>-1631.369999999999</v>
      </c>
    </row>
    <row r="2" spans="1:20" ht="30" customHeight="1">
      <c r="A2" s="46" t="s">
        <v>45</v>
      </c>
      <c r="B2" s="46" t="s">
        <v>46</v>
      </c>
      <c r="C2" s="46" t="s">
        <v>47</v>
      </c>
      <c r="D2" s="46" t="s">
        <v>49</v>
      </c>
      <c r="E2" s="46" t="s">
        <v>50</v>
      </c>
      <c r="F2" s="46" t="s">
        <v>51</v>
      </c>
      <c r="G2" s="46" t="s">
        <v>52</v>
      </c>
      <c r="H2" s="47" t="s">
        <v>53</v>
      </c>
      <c r="I2" s="46" t="s">
        <v>54</v>
      </c>
      <c r="J2" s="139" t="s">
        <v>492</v>
      </c>
      <c r="K2" s="139" t="s">
        <v>556</v>
      </c>
      <c r="L2" s="49"/>
      <c r="M2" s="65"/>
    </row>
    <row r="3" spans="1:20" ht="22.9" customHeight="1">
      <c r="A3" s="7" t="s">
        <v>2154</v>
      </c>
      <c r="B3" s="8" t="s">
        <v>44</v>
      </c>
      <c r="C3" s="7" t="s">
        <v>44</v>
      </c>
      <c r="D3" s="7" t="s">
        <v>2155</v>
      </c>
      <c r="E3" s="9">
        <v>46052</v>
      </c>
      <c r="F3" s="9">
        <v>46082</v>
      </c>
      <c r="G3" s="7" t="s">
        <v>100</v>
      </c>
      <c r="H3" s="10" t="s">
        <v>621</v>
      </c>
      <c r="I3" s="221" t="s">
        <v>122</v>
      </c>
      <c r="J3" s="222">
        <v>3310</v>
      </c>
      <c r="K3" s="222">
        <v>0</v>
      </c>
      <c r="L3" s="243" t="s">
        <v>496</v>
      </c>
      <c r="N3" s="118" t="s">
        <v>56</v>
      </c>
      <c r="O3" s="117" t="s">
        <v>57</v>
      </c>
      <c r="Q3" s="45"/>
      <c r="T3" s="45"/>
    </row>
    <row r="4" spans="1:20" ht="22.9" customHeight="1">
      <c r="A4" s="7" t="s">
        <v>2156</v>
      </c>
      <c r="B4" s="8" t="s">
        <v>44</v>
      </c>
      <c r="C4" s="7" t="s">
        <v>44</v>
      </c>
      <c r="D4" s="7" t="s">
        <v>2157</v>
      </c>
      <c r="E4" s="9">
        <v>46054</v>
      </c>
      <c r="F4" s="9">
        <v>46085</v>
      </c>
      <c r="G4" s="7" t="s">
        <v>507</v>
      </c>
      <c r="H4" s="10" t="s">
        <v>648</v>
      </c>
      <c r="I4" s="221" t="s">
        <v>105</v>
      </c>
      <c r="J4" s="222">
        <v>1150.49</v>
      </c>
      <c r="K4" s="222">
        <v>0</v>
      </c>
      <c r="L4" s="243" t="s">
        <v>496</v>
      </c>
      <c r="N4" s="150">
        <v>46079</v>
      </c>
      <c r="O4" s="151">
        <v>3310.49</v>
      </c>
      <c r="P4" s="243" t="s">
        <v>496</v>
      </c>
      <c r="Q4" s="45"/>
      <c r="S4" s="45"/>
    </row>
    <row r="5" spans="1:20" ht="22.9" customHeight="1">
      <c r="A5" s="7" t="s">
        <v>2158</v>
      </c>
      <c r="B5" s="211" t="s">
        <v>44</v>
      </c>
      <c r="C5" s="8" t="s">
        <v>2159</v>
      </c>
      <c r="D5" s="7" t="s">
        <v>2160</v>
      </c>
      <c r="E5" s="9">
        <v>46064</v>
      </c>
      <c r="F5" s="9">
        <v>46099</v>
      </c>
      <c r="G5" s="7" t="s">
        <v>89</v>
      </c>
      <c r="H5" s="212" t="s">
        <v>621</v>
      </c>
      <c r="I5" s="221" t="s">
        <v>105</v>
      </c>
      <c r="J5" s="12">
        <v>1122</v>
      </c>
      <c r="K5" s="12">
        <v>0</v>
      </c>
      <c r="L5" s="243" t="s">
        <v>496</v>
      </c>
      <c r="N5" s="150">
        <v>46082</v>
      </c>
      <c r="O5" s="151">
        <v>2272</v>
      </c>
      <c r="P5" s="243" t="s">
        <v>496</v>
      </c>
      <c r="Q5" s="45"/>
      <c r="S5" s="45"/>
    </row>
    <row r="6" spans="1:20" ht="22.9" customHeight="1">
      <c r="A6" s="7" t="s">
        <v>2161</v>
      </c>
      <c r="B6" s="211" t="s">
        <v>44</v>
      </c>
      <c r="C6" s="8" t="s">
        <v>44</v>
      </c>
      <c r="D6" s="7" t="s">
        <v>2162</v>
      </c>
      <c r="E6" s="9">
        <v>46196</v>
      </c>
      <c r="F6" s="9">
        <v>46222</v>
      </c>
      <c r="G6" s="7" t="s">
        <v>100</v>
      </c>
      <c r="H6" s="212" t="s">
        <v>66</v>
      </c>
      <c r="I6" s="221" t="s">
        <v>603</v>
      </c>
      <c r="J6" s="12">
        <f>6900+145</f>
        <v>7045</v>
      </c>
      <c r="K6" s="12">
        <v>1850</v>
      </c>
      <c r="L6" s="243">
        <v>0</v>
      </c>
      <c r="N6" s="150">
        <v>46252</v>
      </c>
      <c r="O6" s="151">
        <v>18120.169999999998</v>
      </c>
      <c r="S6" s="45"/>
    </row>
    <row r="7" spans="1:20" ht="22.9" customHeight="1">
      <c r="A7" s="7" t="s">
        <v>2163</v>
      </c>
      <c r="B7" s="211" t="s">
        <v>44</v>
      </c>
      <c r="C7" s="8" t="s">
        <v>44</v>
      </c>
      <c r="D7" s="7" t="s">
        <v>2164</v>
      </c>
      <c r="E7" s="9">
        <v>46193</v>
      </c>
      <c r="F7" s="9">
        <v>46215</v>
      </c>
      <c r="G7" s="7" t="s">
        <v>100</v>
      </c>
      <c r="H7" s="212" t="s">
        <v>316</v>
      </c>
      <c r="I7" s="221" t="s">
        <v>603</v>
      </c>
      <c r="J7" s="12">
        <v>6750</v>
      </c>
      <c r="K7" s="12">
        <v>1700</v>
      </c>
      <c r="L7" s="243">
        <v>0</v>
      </c>
      <c r="N7" s="150">
        <v>46255</v>
      </c>
      <c r="O7" s="151">
        <v>8756.2000000000007</v>
      </c>
      <c r="S7" s="45"/>
    </row>
    <row r="8" spans="1:20" ht="22.9" customHeight="1">
      <c r="A8" s="340" t="s">
        <v>2165</v>
      </c>
      <c r="B8" s="340" t="s">
        <v>44</v>
      </c>
      <c r="C8" s="7" t="s">
        <v>44</v>
      </c>
      <c r="D8" s="340" t="s">
        <v>2166</v>
      </c>
      <c r="E8" s="341">
        <v>46210</v>
      </c>
      <c r="F8" s="341">
        <v>46243</v>
      </c>
      <c r="G8" s="342" t="s">
        <v>100</v>
      </c>
      <c r="H8" s="343" t="s">
        <v>66</v>
      </c>
      <c r="I8" s="11" t="s">
        <v>603</v>
      </c>
      <c r="J8" s="222">
        <v>6200</v>
      </c>
      <c r="K8" s="222">
        <v>1700</v>
      </c>
      <c r="L8" s="12">
        <v>0</v>
      </c>
    </row>
    <row r="9" spans="1:20" ht="22.9" customHeight="1">
      <c r="A9" s="15"/>
      <c r="B9" s="15"/>
      <c r="C9" s="15"/>
      <c r="D9" s="15"/>
      <c r="E9" s="17"/>
      <c r="F9" s="17"/>
      <c r="G9" s="15"/>
      <c r="H9" s="36"/>
      <c r="I9" s="68"/>
      <c r="J9" s="140"/>
      <c r="K9" s="140"/>
      <c r="L9" s="20"/>
      <c r="S9" s="45"/>
    </row>
    <row r="10" spans="1:20" ht="22.9" customHeight="1">
      <c r="A10" s="32"/>
      <c r="B10" s="32"/>
      <c r="C10" s="32"/>
      <c r="D10" s="32"/>
      <c r="E10" s="34"/>
      <c r="F10" s="34"/>
      <c r="G10" s="32"/>
      <c r="H10" s="77"/>
      <c r="I10" s="68"/>
      <c r="J10" s="141"/>
      <c r="K10" s="141"/>
      <c r="L10" s="81"/>
    </row>
    <row r="11" spans="1:20" ht="22.9" customHeight="1">
      <c r="A11" s="32"/>
      <c r="B11" s="32"/>
      <c r="C11" s="32"/>
      <c r="D11" s="32"/>
      <c r="E11" s="34"/>
      <c r="F11" s="34"/>
      <c r="G11" s="32"/>
      <c r="H11" s="77"/>
      <c r="I11" s="68"/>
      <c r="J11" s="141"/>
      <c r="K11" s="141"/>
      <c r="L11" s="81"/>
    </row>
    <row r="12" spans="1:20" ht="22.9" customHeight="1">
      <c r="A12" s="32"/>
      <c r="B12" s="32"/>
      <c r="C12" s="32"/>
      <c r="D12" s="32"/>
      <c r="E12" s="34"/>
      <c r="F12" s="34"/>
      <c r="G12" s="32"/>
      <c r="H12" s="77"/>
      <c r="I12" s="68"/>
      <c r="J12" s="141"/>
      <c r="K12" s="141"/>
      <c r="L12" s="81"/>
    </row>
    <row r="13" spans="1:20" ht="22.9" customHeight="1">
      <c r="A13" s="32"/>
      <c r="B13" s="32"/>
      <c r="C13" s="32"/>
      <c r="D13" s="32"/>
      <c r="E13" s="34"/>
      <c r="F13" s="34"/>
      <c r="G13" s="32"/>
      <c r="H13" s="77"/>
      <c r="I13" s="68"/>
      <c r="J13" s="141"/>
      <c r="K13" s="141"/>
      <c r="L13" s="81"/>
    </row>
    <row r="14" spans="1:20" ht="22.9" customHeight="1">
      <c r="A14" s="32"/>
      <c r="B14" s="32"/>
      <c r="C14" s="32"/>
      <c r="D14" s="32"/>
      <c r="E14" s="34"/>
      <c r="F14" s="34"/>
      <c r="G14" s="32"/>
      <c r="H14" s="77"/>
      <c r="I14" s="68"/>
      <c r="J14" s="141"/>
      <c r="K14" s="141"/>
      <c r="L14" s="81"/>
    </row>
    <row r="24" spans="11:11">
      <c r="K24" s="1" t="s">
        <v>1360</v>
      </c>
    </row>
  </sheetData>
  <conditionalFormatting sqref="A5:A7">
    <cfRule type="duplicateValues" dxfId="1999" priority="1"/>
    <cfRule type="duplicateValues" dxfId="1998" priority="2"/>
    <cfRule type="duplicateValues" dxfId="1997" priority="3"/>
    <cfRule type="duplicateValues" dxfId="1996" priority="4"/>
    <cfRule type="duplicateValues" dxfId="1995" priority="5"/>
    <cfRule type="duplicateValues" dxfId="1994" priority="6"/>
    <cfRule type="duplicateValues" dxfId="1993" priority="7"/>
    <cfRule type="duplicateValues" dxfId="1992" priority="8"/>
    <cfRule type="duplicateValues" dxfId="1991" priority="9"/>
    <cfRule type="duplicateValues" dxfId="1990" priority="10"/>
    <cfRule type="duplicateValues" dxfId="1989" priority="11"/>
    <cfRule type="duplicateValues" dxfId="1988" priority="12"/>
    <cfRule type="duplicateValues" dxfId="1987" priority="19"/>
    <cfRule type="duplicateValues" dxfId="1986" priority="21"/>
    <cfRule type="duplicateValues" dxfId="1985" priority="22"/>
  </conditionalFormatting>
  <conditionalFormatting sqref="A13:A14">
    <cfRule type="duplicateValues" dxfId="1984" priority="52"/>
  </conditionalFormatting>
  <conditionalFormatting sqref="A15:A1048576 A1:A4 A8:A12">
    <cfRule type="duplicateValues" dxfId="1983" priority="56"/>
  </conditionalFormatting>
  <conditionalFormatting sqref="D5:D7 A5:A7">
    <cfRule type="duplicateValues" dxfId="1982" priority="23"/>
  </conditionalFormatting>
  <conditionalFormatting sqref="D5:D7">
    <cfRule type="duplicateValues" dxfId="1981" priority="13"/>
    <cfRule type="duplicateValues" dxfId="1980" priority="14"/>
    <cfRule type="duplicateValues" dxfId="1979" priority="15"/>
    <cfRule type="duplicateValues" dxfId="1978" priority="16"/>
    <cfRule type="duplicateValues" dxfId="1977" priority="17"/>
    <cfRule type="duplicateValues" dxfId="1976" priority="18"/>
    <cfRule type="duplicateValues" dxfId="1975" priority="20"/>
    <cfRule type="duplicateValues" dxfId="1974" priority="24"/>
    <cfRule type="duplicateValues" dxfId="1973" priority="25"/>
  </conditionalFormatting>
  <conditionalFormatting sqref="D13:D14">
    <cfRule type="duplicateValues" dxfId="1972" priority="51"/>
  </conditionalFormatting>
  <conditionalFormatting sqref="D15:D1048576 D1:D4 D8:D12">
    <cfRule type="duplicateValues" dxfId="1971" priority="53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5C8B6-CE79-465B-9012-36AAD0442A4F}">
  <sheetPr codeName="Hoja18">
    <tabColor theme="3" tint="0.89999084444715716"/>
  </sheetPr>
  <dimension ref="A1:P39"/>
  <sheetViews>
    <sheetView workbookViewId="0">
      <selection activeCell="D7" sqref="D7"/>
    </sheetView>
  </sheetViews>
  <sheetFormatPr defaultColWidth="11.42578125" defaultRowHeight="14.45"/>
  <cols>
    <col min="2" max="2" width="13.140625" bestFit="1" customWidth="1"/>
    <col min="3" max="3" width="15.140625" bestFit="1" customWidth="1"/>
    <col min="5" max="5" width="12.7109375" bestFit="1" customWidth="1"/>
    <col min="10" max="10" width="11.140625" customWidth="1"/>
    <col min="14" max="14" width="9.7109375" customWidth="1"/>
  </cols>
  <sheetData>
    <row r="1" spans="1:16" ht="18">
      <c r="M1" s="96">
        <f>SUM(M3:M40)</f>
        <v>0</v>
      </c>
    </row>
    <row r="2" spans="1:16" ht="27.6">
      <c r="A2" s="121" t="s">
        <v>45</v>
      </c>
      <c r="B2" s="121" t="s">
        <v>491</v>
      </c>
      <c r="C2" s="121" t="s">
        <v>47</v>
      </c>
      <c r="D2" s="121" t="s">
        <v>48</v>
      </c>
      <c r="E2" s="121" t="s">
        <v>49</v>
      </c>
      <c r="F2" s="121" t="s">
        <v>50</v>
      </c>
      <c r="G2" s="121" t="s">
        <v>51</v>
      </c>
      <c r="H2" s="121" t="s">
        <v>52</v>
      </c>
      <c r="I2" s="122" t="s">
        <v>53</v>
      </c>
      <c r="J2" s="121" t="s">
        <v>54</v>
      </c>
      <c r="K2" s="129" t="s">
        <v>58</v>
      </c>
      <c r="L2" s="129" t="s">
        <v>676</v>
      </c>
      <c r="M2" s="129" t="s">
        <v>55</v>
      </c>
    </row>
    <row r="3" spans="1:16" ht="22.9" customHeight="1">
      <c r="A3" s="114"/>
      <c r="B3" s="32"/>
      <c r="C3" s="32"/>
      <c r="D3" s="32"/>
      <c r="E3" s="32"/>
      <c r="F3" s="34"/>
      <c r="G3" s="34"/>
      <c r="H3" s="32"/>
      <c r="I3" s="77"/>
      <c r="J3" s="68"/>
      <c r="K3" s="81"/>
      <c r="L3" s="81"/>
      <c r="M3" s="144"/>
      <c r="N3" s="463"/>
      <c r="O3" s="55" t="s">
        <v>56</v>
      </c>
      <c r="P3" s="56" t="s">
        <v>57</v>
      </c>
    </row>
    <row r="4" spans="1:16" ht="22.9" customHeight="1">
      <c r="A4" s="114"/>
      <c r="B4" s="32"/>
      <c r="C4" s="32"/>
      <c r="D4" s="32"/>
      <c r="E4" s="32"/>
      <c r="F4" s="34"/>
      <c r="G4" s="34"/>
      <c r="H4" s="32"/>
      <c r="I4" s="77"/>
      <c r="J4" s="68"/>
      <c r="K4" s="81"/>
      <c r="L4" s="81"/>
      <c r="M4" s="144"/>
      <c r="N4" s="463"/>
      <c r="O4" s="150"/>
      <c r="P4" s="151"/>
    </row>
    <row r="5" spans="1:16" ht="22.9" customHeight="1">
      <c r="A5" s="114"/>
      <c r="B5" s="32"/>
      <c r="C5" s="32"/>
      <c r="D5" s="32"/>
      <c r="E5" s="32"/>
      <c r="F5" s="34"/>
      <c r="G5" s="34"/>
      <c r="H5" s="32"/>
      <c r="I5" s="77"/>
      <c r="J5" s="68"/>
      <c r="K5" s="81"/>
      <c r="L5" s="81"/>
      <c r="M5" s="144"/>
      <c r="N5" s="463"/>
    </row>
    <row r="6" spans="1:16" ht="22.9" customHeight="1">
      <c r="A6" s="114"/>
      <c r="B6" s="32"/>
      <c r="C6" s="32"/>
      <c r="D6" s="32"/>
      <c r="E6" s="32"/>
      <c r="F6" s="34"/>
      <c r="G6" s="34"/>
      <c r="H6" s="32"/>
      <c r="I6" s="77"/>
      <c r="J6" s="68"/>
      <c r="K6" s="81"/>
      <c r="L6" s="81"/>
      <c r="M6" s="144"/>
    </row>
    <row r="7" spans="1:16" ht="22.9" customHeight="1">
      <c r="A7" s="114"/>
      <c r="B7" s="32"/>
      <c r="C7" s="32"/>
      <c r="D7" s="32"/>
      <c r="E7" s="32"/>
      <c r="F7" s="34"/>
      <c r="G7" s="34"/>
      <c r="H7" s="32"/>
      <c r="I7" s="77"/>
      <c r="J7" s="68"/>
      <c r="K7" s="81"/>
      <c r="L7" s="81"/>
      <c r="M7" s="144"/>
    </row>
    <row r="8" spans="1:16" ht="22.9" customHeight="1">
      <c r="A8" s="114"/>
      <c r="B8" s="32"/>
      <c r="C8" s="32"/>
      <c r="D8" s="32"/>
      <c r="E8" s="32"/>
      <c r="F8" s="34"/>
      <c r="G8" s="34"/>
      <c r="H8" s="32"/>
      <c r="I8" s="77"/>
      <c r="J8" s="68"/>
      <c r="K8" s="81"/>
      <c r="L8" s="81"/>
      <c r="M8" s="144"/>
    </row>
    <row r="9" spans="1:16" ht="22.9" customHeight="1">
      <c r="A9" s="114"/>
      <c r="B9" s="32"/>
      <c r="C9" s="32"/>
      <c r="D9" s="32"/>
      <c r="E9" s="32"/>
      <c r="F9" s="34"/>
      <c r="G9" s="34"/>
      <c r="H9" s="32"/>
      <c r="I9" s="77"/>
      <c r="J9" s="68"/>
      <c r="K9" s="81"/>
      <c r="L9" s="81"/>
      <c r="M9" s="144"/>
    </row>
    <row r="10" spans="1:16" ht="22.9" customHeight="1">
      <c r="A10" s="114"/>
      <c r="B10" s="32"/>
      <c r="C10" s="32"/>
      <c r="D10" s="32"/>
      <c r="E10" s="32"/>
      <c r="F10" s="34"/>
      <c r="G10" s="34"/>
      <c r="H10" s="32"/>
      <c r="I10" s="77"/>
      <c r="J10" s="68"/>
      <c r="K10" s="81"/>
      <c r="L10" s="81"/>
      <c r="M10" s="144"/>
    </row>
    <row r="11" spans="1:16" ht="22.9" customHeight="1">
      <c r="A11" s="114"/>
      <c r="B11" s="32"/>
      <c r="C11" s="32"/>
      <c r="D11" s="32"/>
      <c r="E11" s="32"/>
      <c r="F11" s="34"/>
      <c r="G11" s="34"/>
      <c r="H11" s="32"/>
      <c r="I11" s="77"/>
      <c r="J11" s="68"/>
      <c r="K11" s="81"/>
      <c r="L11" s="81"/>
      <c r="M11" s="144"/>
    </row>
    <row r="12" spans="1:16" ht="22.9" customHeight="1">
      <c r="A12" s="114"/>
      <c r="B12" s="32"/>
      <c r="C12" s="32"/>
      <c r="D12" s="32"/>
      <c r="E12" s="32"/>
      <c r="F12" s="34"/>
      <c r="G12" s="34"/>
      <c r="H12" s="32"/>
      <c r="I12" s="77"/>
      <c r="J12" s="68"/>
      <c r="K12" s="81"/>
      <c r="L12" s="81"/>
      <c r="M12" s="144"/>
    </row>
    <row r="13" spans="1:16" ht="22.9" customHeight="1">
      <c r="A13" s="114"/>
      <c r="B13" s="32"/>
      <c r="C13" s="32"/>
      <c r="D13" s="32"/>
      <c r="E13" s="32"/>
      <c r="F13" s="34"/>
      <c r="G13" s="34"/>
      <c r="H13" s="32"/>
      <c r="I13" s="77"/>
      <c r="J13" s="68"/>
      <c r="K13" s="81"/>
      <c r="L13" s="81"/>
      <c r="M13" s="144"/>
    </row>
    <row r="14" spans="1:16" ht="22.9" customHeight="1">
      <c r="A14" s="114"/>
      <c r="B14" s="32"/>
      <c r="C14" s="32"/>
      <c r="D14" s="32"/>
      <c r="E14" s="32"/>
      <c r="F14" s="34"/>
      <c r="G14" s="34"/>
      <c r="H14" s="32"/>
      <c r="I14" s="77"/>
      <c r="J14" s="68"/>
      <c r="K14" s="81"/>
      <c r="L14" s="81"/>
      <c r="M14" s="144"/>
    </row>
    <row r="15" spans="1:16" ht="22.9" customHeight="1">
      <c r="A15" s="114"/>
      <c r="B15" s="32"/>
      <c r="C15" s="32"/>
      <c r="D15" s="32"/>
      <c r="E15" s="32"/>
      <c r="F15" s="34"/>
      <c r="G15" s="34"/>
      <c r="H15" s="32"/>
      <c r="I15" s="77"/>
      <c r="J15" s="68"/>
      <c r="K15" s="81"/>
      <c r="L15" s="81"/>
      <c r="M15" s="144"/>
    </row>
    <row r="16" spans="1:16" ht="22.9" customHeight="1">
      <c r="A16" s="114"/>
      <c r="B16" s="32"/>
      <c r="C16" s="32"/>
      <c r="D16" s="32"/>
      <c r="E16" s="32"/>
      <c r="F16" s="34"/>
      <c r="G16" s="34"/>
      <c r="H16" s="32"/>
      <c r="I16" s="77"/>
      <c r="J16" s="68"/>
      <c r="K16" s="81"/>
      <c r="L16" s="81"/>
      <c r="M16" s="144"/>
    </row>
    <row r="17" spans="1:16" ht="22.9" customHeight="1">
      <c r="A17" s="114"/>
      <c r="B17" s="32"/>
      <c r="C17" s="32"/>
      <c r="D17" s="32"/>
      <c r="E17" s="32"/>
      <c r="F17" s="34"/>
      <c r="G17" s="34"/>
      <c r="H17" s="32"/>
      <c r="I17" s="77"/>
      <c r="J17" s="68"/>
      <c r="K17" s="81"/>
      <c r="L17" s="81"/>
      <c r="M17" s="144"/>
    </row>
    <row r="18" spans="1:16" ht="22.9" customHeight="1">
      <c r="A18" s="114"/>
      <c r="B18" s="32"/>
      <c r="C18" s="32"/>
      <c r="D18" s="32"/>
      <c r="E18" s="32"/>
      <c r="F18" s="34"/>
      <c r="G18" s="34"/>
      <c r="H18" s="32"/>
      <c r="I18" s="77"/>
      <c r="J18" s="68"/>
      <c r="K18" s="81"/>
      <c r="L18" s="81"/>
      <c r="M18" s="144"/>
    </row>
    <row r="19" spans="1:16" ht="22.9" customHeight="1">
      <c r="A19" s="114"/>
      <c r="B19" s="32"/>
      <c r="C19" s="32"/>
      <c r="D19" s="32"/>
      <c r="E19" s="32"/>
      <c r="F19" s="34"/>
      <c r="G19" s="34"/>
      <c r="H19" s="32"/>
      <c r="I19" s="77"/>
      <c r="J19" s="68"/>
      <c r="K19" s="81"/>
      <c r="L19" s="81"/>
      <c r="M19" s="144"/>
    </row>
    <row r="20" spans="1:16" ht="22.9" customHeight="1">
      <c r="A20" s="114"/>
      <c r="B20" s="32"/>
      <c r="C20" s="32"/>
      <c r="D20" s="32"/>
      <c r="E20" s="32"/>
      <c r="F20" s="34"/>
      <c r="G20" s="34"/>
      <c r="H20" s="32"/>
      <c r="I20" s="77"/>
      <c r="J20" s="68"/>
      <c r="K20" s="81"/>
      <c r="L20" s="81"/>
      <c r="M20" s="144"/>
    </row>
    <row r="21" spans="1:16" ht="22.9" customHeight="1">
      <c r="A21" s="114"/>
      <c r="B21" s="32"/>
      <c r="C21" s="32"/>
      <c r="D21" s="32"/>
      <c r="E21" s="32"/>
      <c r="F21" s="34"/>
      <c r="G21" s="34"/>
      <c r="H21" s="32"/>
      <c r="I21" s="77"/>
      <c r="J21" s="68"/>
      <c r="K21" s="81"/>
      <c r="L21" s="81"/>
      <c r="M21" s="144"/>
    </row>
    <row r="22" spans="1:16" ht="22.9" customHeight="1">
      <c r="A22" s="114"/>
      <c r="B22" s="32"/>
      <c r="C22" s="32"/>
      <c r="D22" s="32"/>
      <c r="E22" s="32"/>
      <c r="F22" s="34"/>
      <c r="G22" s="34"/>
      <c r="H22" s="32"/>
      <c r="I22" s="77"/>
      <c r="J22" s="68"/>
      <c r="K22" s="81"/>
      <c r="L22" s="81"/>
      <c r="M22" s="144"/>
    </row>
    <row r="23" spans="1:16" ht="22.9" customHeight="1">
      <c r="A23" s="114"/>
      <c r="B23" s="32"/>
      <c r="C23" s="32"/>
      <c r="D23" s="32"/>
      <c r="E23" s="32"/>
      <c r="F23" s="34"/>
      <c r="G23" s="34"/>
      <c r="H23" s="32"/>
      <c r="I23" s="77"/>
      <c r="J23" s="68"/>
      <c r="K23" s="81"/>
      <c r="L23" s="81"/>
      <c r="M23" s="144"/>
      <c r="N23" s="159"/>
      <c r="O23" s="1"/>
      <c r="P23" s="1"/>
    </row>
    <row r="24" spans="1:16" ht="22.9" customHeight="1">
      <c r="A24" s="114"/>
      <c r="B24" s="32"/>
      <c r="C24" s="32"/>
      <c r="D24" s="32"/>
      <c r="E24" s="32"/>
      <c r="F24" s="34"/>
      <c r="G24" s="34"/>
      <c r="H24" s="32"/>
      <c r="I24" s="35"/>
      <c r="J24" s="68"/>
      <c r="K24" s="81"/>
      <c r="L24" s="81"/>
      <c r="M24" s="144"/>
    </row>
    <row r="25" spans="1:16" ht="22.9" customHeight="1">
      <c r="A25" s="114"/>
      <c r="B25" s="32"/>
      <c r="C25" s="32"/>
      <c r="D25" s="32"/>
      <c r="E25" s="32"/>
      <c r="F25" s="34"/>
      <c r="G25" s="34"/>
      <c r="H25" s="32"/>
      <c r="I25" s="35"/>
      <c r="J25" s="68"/>
      <c r="K25" s="81"/>
      <c r="L25" s="81"/>
      <c r="M25" s="144"/>
    </row>
    <row r="26" spans="1:16" ht="22.9" customHeight="1">
      <c r="A26" s="114"/>
      <c r="B26" s="32"/>
      <c r="C26" s="32"/>
      <c r="D26" s="32"/>
      <c r="E26" s="32"/>
      <c r="F26" s="34"/>
      <c r="G26" s="34"/>
      <c r="H26" s="32"/>
      <c r="I26" s="35"/>
      <c r="J26" s="68"/>
      <c r="K26" s="81"/>
      <c r="L26" s="81"/>
      <c r="M26" s="144"/>
    </row>
    <row r="27" spans="1:16" ht="22.9" customHeight="1">
      <c r="A27" s="114"/>
      <c r="B27" s="32"/>
      <c r="C27" s="32"/>
      <c r="D27" s="32"/>
      <c r="E27" s="32"/>
      <c r="F27" s="34"/>
      <c r="G27" s="34"/>
      <c r="H27" s="32"/>
      <c r="I27" s="35"/>
      <c r="J27" s="68"/>
      <c r="K27" s="81"/>
      <c r="L27" s="81"/>
      <c r="M27" s="144"/>
    </row>
    <row r="28" spans="1:16" ht="22.9" customHeight="1">
      <c r="A28" s="114"/>
      <c r="B28" s="32"/>
      <c r="C28" s="32"/>
      <c r="D28" s="32"/>
      <c r="E28" s="32"/>
      <c r="F28" s="34"/>
      <c r="G28" s="34"/>
      <c r="H28" s="32"/>
      <c r="I28" s="35"/>
      <c r="J28" s="68"/>
      <c r="K28" s="81"/>
      <c r="L28" s="81"/>
      <c r="M28" s="144"/>
    </row>
    <row r="29" spans="1:16" ht="22.9" customHeight="1">
      <c r="A29" s="114"/>
      <c r="B29" s="32"/>
      <c r="C29" s="32"/>
      <c r="D29" s="32"/>
      <c r="E29" s="32"/>
      <c r="F29" s="34"/>
      <c r="G29" s="34"/>
      <c r="H29" s="32"/>
      <c r="I29" s="35"/>
      <c r="J29" s="68"/>
      <c r="K29" s="81"/>
      <c r="L29" s="81"/>
      <c r="M29" s="144"/>
    </row>
    <row r="30" spans="1:16" ht="22.9" customHeight="1">
      <c r="A30" s="114"/>
      <c r="B30" s="32"/>
      <c r="C30" s="32"/>
      <c r="D30" s="32"/>
      <c r="E30" s="32"/>
      <c r="F30" s="34"/>
      <c r="G30" s="34"/>
      <c r="H30" s="32"/>
      <c r="I30" s="35"/>
      <c r="J30" s="68"/>
      <c r="K30" s="81"/>
      <c r="L30" s="81"/>
      <c r="M30" s="144"/>
    </row>
    <row r="31" spans="1:16" ht="22.9" customHeight="1">
      <c r="A31" s="114"/>
      <c r="B31" s="32"/>
      <c r="C31" s="32"/>
      <c r="D31" s="32"/>
      <c r="E31" s="32"/>
      <c r="F31" s="34"/>
      <c r="G31" s="34"/>
      <c r="H31" s="32"/>
      <c r="I31" s="35"/>
      <c r="J31" s="68"/>
      <c r="K31" s="81"/>
      <c r="L31" s="81"/>
      <c r="M31" s="144"/>
    </row>
    <row r="32" spans="1:16" ht="22.9" customHeight="1">
      <c r="A32" s="114"/>
      <c r="B32" s="32"/>
      <c r="C32" s="32"/>
      <c r="D32" s="32"/>
      <c r="E32" s="32"/>
      <c r="F32" s="34"/>
      <c r="G32" s="34"/>
      <c r="H32" s="32"/>
      <c r="I32" s="35"/>
      <c r="J32" s="68"/>
      <c r="K32" s="81"/>
      <c r="L32" s="81"/>
      <c r="M32" s="144"/>
    </row>
    <row r="33" spans="1:13" ht="22.9" customHeight="1">
      <c r="A33" s="114"/>
      <c r="B33" s="32"/>
      <c r="C33" s="32"/>
      <c r="D33" s="32"/>
      <c r="E33" s="32"/>
      <c r="F33" s="34"/>
      <c r="G33" s="34"/>
      <c r="H33" s="32"/>
      <c r="I33" s="35"/>
      <c r="J33" s="68"/>
      <c r="K33" s="81"/>
      <c r="L33" s="81"/>
      <c r="M33" s="144"/>
    </row>
    <row r="34" spans="1:13" ht="22.9" customHeight="1">
      <c r="A34" s="114"/>
      <c r="B34" s="32"/>
      <c r="C34" s="32"/>
      <c r="D34" s="32"/>
      <c r="E34" s="32"/>
      <c r="F34" s="34"/>
      <c r="G34" s="34"/>
      <c r="H34" s="32"/>
      <c r="I34" s="35"/>
      <c r="J34" s="68"/>
      <c r="K34" s="81"/>
      <c r="L34" s="81"/>
      <c r="M34" s="144"/>
    </row>
    <row r="35" spans="1:13" ht="22.9" customHeight="1">
      <c r="A35" s="114"/>
      <c r="B35" s="32"/>
      <c r="C35" s="32"/>
      <c r="D35" s="32"/>
      <c r="E35" s="32"/>
      <c r="F35" s="34"/>
      <c r="G35" s="34"/>
      <c r="H35" s="32"/>
      <c r="I35" s="35"/>
      <c r="J35" s="68"/>
      <c r="K35" s="81"/>
      <c r="L35" s="81"/>
      <c r="M35" s="144"/>
    </row>
    <row r="36" spans="1:13" ht="22.9" customHeight="1">
      <c r="A36" s="114"/>
      <c r="B36" s="32"/>
      <c r="C36" s="32"/>
      <c r="D36" s="32"/>
      <c r="E36" s="32"/>
      <c r="F36" s="34"/>
      <c r="G36" s="34"/>
      <c r="H36" s="32"/>
      <c r="I36" s="35"/>
      <c r="J36" s="68"/>
      <c r="K36" s="81"/>
      <c r="L36" s="81"/>
      <c r="M36" s="144"/>
    </row>
    <row r="37" spans="1:13" ht="22.9" customHeight="1">
      <c r="A37" s="114"/>
      <c r="B37" s="32"/>
      <c r="C37" s="32"/>
      <c r="D37" s="32"/>
      <c r="E37" s="32"/>
      <c r="F37" s="34"/>
      <c r="G37" s="34"/>
      <c r="H37" s="32"/>
      <c r="I37" s="35"/>
      <c r="J37" s="68"/>
      <c r="K37" s="81"/>
      <c r="L37" s="81"/>
      <c r="M37" s="144"/>
    </row>
    <row r="38" spans="1:13" ht="22.9" customHeight="1">
      <c r="A38" s="114"/>
      <c r="B38" s="32"/>
      <c r="C38" s="32"/>
      <c r="D38" s="32"/>
      <c r="E38" s="32"/>
      <c r="F38" s="34"/>
      <c r="G38" s="34"/>
      <c r="H38" s="32"/>
      <c r="I38" s="35"/>
      <c r="J38" s="68"/>
      <c r="K38" s="81"/>
      <c r="L38" s="81"/>
      <c r="M38" s="144"/>
    </row>
    <row r="39" spans="1:13" ht="22.9" customHeight="1">
      <c r="A39" s="114"/>
      <c r="B39" s="32"/>
      <c r="C39" s="32"/>
      <c r="D39" s="32"/>
      <c r="E39" s="32"/>
      <c r="F39" s="34"/>
      <c r="G39" s="34"/>
      <c r="H39" s="32"/>
      <c r="I39" s="35"/>
      <c r="J39" s="68"/>
      <c r="K39" s="81"/>
      <c r="L39" s="81"/>
      <c r="M39" s="144"/>
    </row>
  </sheetData>
  <mergeCells count="1">
    <mergeCell ref="N3:N5"/>
  </mergeCells>
  <conditionalFormatting sqref="A1:A1048576 E1:E1048576">
    <cfRule type="duplicateValues" dxfId="1970" priority="1"/>
  </conditionalFormatting>
  <conditionalFormatting sqref="A2">
    <cfRule type="duplicateValues" dxfId="1969" priority="308"/>
    <cfRule type="duplicateValues" dxfId="1968" priority="311"/>
    <cfRule type="duplicateValues" dxfId="1967" priority="313"/>
    <cfRule type="duplicateValues" dxfId="1966" priority="316"/>
  </conditionalFormatting>
  <conditionalFormatting sqref="A3:A5">
    <cfRule type="duplicateValues" dxfId="1965" priority="119"/>
    <cfRule type="duplicateValues" dxfId="1964" priority="120"/>
    <cfRule type="duplicateValues" dxfId="1963" priority="121"/>
    <cfRule type="duplicateValues" dxfId="1962" priority="128"/>
  </conditionalFormatting>
  <conditionalFormatting sqref="A3:A23">
    <cfRule type="duplicateValues" dxfId="1961" priority="97"/>
    <cfRule type="duplicateValues" dxfId="1960" priority="118"/>
  </conditionalFormatting>
  <conditionalFormatting sqref="A6:A21">
    <cfRule type="duplicateValues" dxfId="1959" priority="108"/>
    <cfRule type="duplicateValues" dxfId="1958" priority="109"/>
    <cfRule type="duplicateValues" dxfId="1957" priority="110"/>
    <cfRule type="duplicateValues" dxfId="1956" priority="117"/>
  </conditionalFormatting>
  <conditionalFormatting sqref="A22">
    <cfRule type="duplicateValues" dxfId="1955" priority="98"/>
    <cfRule type="duplicateValues" dxfId="1954" priority="99"/>
    <cfRule type="duplicateValues" dxfId="1953" priority="100"/>
    <cfRule type="duplicateValues" dxfId="1952" priority="107"/>
  </conditionalFormatting>
  <conditionalFormatting sqref="A23">
    <cfRule type="duplicateValues" dxfId="1951" priority="87"/>
    <cfRule type="duplicateValues" dxfId="1950" priority="88"/>
    <cfRule type="duplicateValues" dxfId="1949" priority="89"/>
    <cfRule type="duplicateValues" dxfId="1948" priority="96"/>
  </conditionalFormatting>
  <conditionalFormatting sqref="A24">
    <cfRule type="duplicateValues" dxfId="1947" priority="59"/>
    <cfRule type="duplicateValues" dxfId="1946" priority="60"/>
    <cfRule type="duplicateValues" dxfId="1945" priority="61"/>
    <cfRule type="duplicateValues" dxfId="1944" priority="62"/>
    <cfRule type="duplicateValues" dxfId="1943" priority="63"/>
    <cfRule type="duplicateValues" dxfId="1942" priority="64"/>
    <cfRule type="duplicateValues" dxfId="1941" priority="65"/>
  </conditionalFormatting>
  <conditionalFormatting sqref="A25:A39">
    <cfRule type="duplicateValues" dxfId="1940" priority="45"/>
    <cfRule type="duplicateValues" dxfId="1939" priority="46"/>
    <cfRule type="duplicateValues" dxfId="1938" priority="47"/>
    <cfRule type="duplicateValues" dxfId="1937" priority="48"/>
    <cfRule type="duplicateValues" dxfId="1936" priority="49"/>
    <cfRule type="duplicateValues" dxfId="1935" priority="50"/>
    <cfRule type="duplicateValues" dxfId="1934" priority="51"/>
  </conditionalFormatting>
  <conditionalFormatting sqref="A40:A1048576 A1:A2">
    <cfRule type="duplicateValues" dxfId="1933" priority="250"/>
    <cfRule type="duplicateValues" dxfId="1932" priority="284"/>
  </conditionalFormatting>
  <conditionalFormatting sqref="E2">
    <cfRule type="duplicateValues" dxfId="1931" priority="309"/>
    <cfRule type="duplicateValues" dxfId="1930" priority="310"/>
    <cfRule type="duplicateValues" dxfId="1929" priority="312"/>
    <cfRule type="duplicateValues" dxfId="1928" priority="314"/>
    <cfRule type="duplicateValues" dxfId="1927" priority="315"/>
    <cfRule type="duplicateValues" dxfId="1926" priority="317"/>
  </conditionalFormatting>
  <conditionalFormatting sqref="E3:E5">
    <cfRule type="duplicateValues" dxfId="1925" priority="122"/>
    <cfRule type="duplicateValues" dxfId="1924" priority="123"/>
    <cfRule type="duplicateValues" dxfId="1923" priority="124"/>
    <cfRule type="duplicateValues" dxfId="1922" priority="125"/>
    <cfRule type="duplicateValues" dxfId="1921" priority="126"/>
    <cfRule type="duplicateValues" dxfId="1920" priority="127"/>
  </conditionalFormatting>
  <conditionalFormatting sqref="E3:E39">
    <cfRule type="duplicateValues" dxfId="1919" priority="2"/>
  </conditionalFormatting>
  <conditionalFormatting sqref="E6:E21">
    <cfRule type="duplicateValues" dxfId="1918" priority="111"/>
    <cfRule type="duplicateValues" dxfId="1917" priority="112"/>
    <cfRule type="duplicateValues" dxfId="1916" priority="113"/>
    <cfRule type="duplicateValues" dxfId="1915" priority="114"/>
    <cfRule type="duplicateValues" dxfId="1914" priority="115"/>
    <cfRule type="duplicateValues" dxfId="1913" priority="116"/>
  </conditionalFormatting>
  <conditionalFormatting sqref="E22">
    <cfRule type="duplicateValues" dxfId="1912" priority="101"/>
    <cfRule type="duplicateValues" dxfId="1911" priority="102"/>
    <cfRule type="duplicateValues" dxfId="1910" priority="103"/>
    <cfRule type="duplicateValues" dxfId="1909" priority="104"/>
    <cfRule type="duplicateValues" dxfId="1908" priority="105"/>
    <cfRule type="duplicateValues" dxfId="1907" priority="106"/>
  </conditionalFormatting>
  <conditionalFormatting sqref="E23">
    <cfRule type="duplicateValues" dxfId="1906" priority="90"/>
    <cfRule type="duplicateValues" dxfId="1905" priority="91"/>
    <cfRule type="duplicateValues" dxfId="1904" priority="92"/>
    <cfRule type="duplicateValues" dxfId="1903" priority="93"/>
    <cfRule type="duplicateValues" dxfId="1902" priority="94"/>
    <cfRule type="duplicateValues" dxfId="1901" priority="95"/>
  </conditionalFormatting>
  <conditionalFormatting sqref="E24">
    <cfRule type="duplicateValues" dxfId="1900" priority="66"/>
    <cfRule type="duplicateValues" dxfId="1899" priority="67"/>
    <cfRule type="duplicateValues" dxfId="1898" priority="68"/>
    <cfRule type="duplicateValues" dxfId="1897" priority="69"/>
    <cfRule type="duplicateValues" dxfId="1896" priority="70"/>
    <cfRule type="duplicateValues" dxfId="1895" priority="71"/>
    <cfRule type="duplicateValues" dxfId="1894" priority="72"/>
  </conditionalFormatting>
  <conditionalFormatting sqref="E25:E39">
    <cfRule type="duplicateValues" dxfId="1893" priority="52"/>
    <cfRule type="duplicateValues" dxfId="1892" priority="53"/>
    <cfRule type="duplicateValues" dxfId="1891" priority="54"/>
    <cfRule type="duplicateValues" dxfId="1890" priority="55"/>
    <cfRule type="duplicateValues" dxfId="1889" priority="56"/>
    <cfRule type="duplicateValues" dxfId="1888" priority="57"/>
    <cfRule type="duplicateValues" dxfId="1887" priority="58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7800E-925E-AC42-B964-99A3CAA29F16}">
  <sheetPr codeName="Hoja28">
    <tabColor theme="2" tint="-9.9978637043366805E-2"/>
  </sheetPr>
  <dimension ref="A2:M6"/>
  <sheetViews>
    <sheetView workbookViewId="0">
      <selection activeCell="K24" sqref="K24"/>
    </sheetView>
  </sheetViews>
  <sheetFormatPr defaultColWidth="11.42578125" defaultRowHeight="14.45"/>
  <cols>
    <col min="2" max="2" width="14.7109375" bestFit="1" customWidth="1"/>
    <col min="3" max="3" width="15.140625" bestFit="1" customWidth="1"/>
    <col min="5" max="5" width="12.28515625" bestFit="1" customWidth="1"/>
  </cols>
  <sheetData>
    <row r="2" spans="1:13" ht="18">
      <c r="M2" s="96">
        <f>SUM(M4:M41)</f>
        <v>0</v>
      </c>
    </row>
    <row r="3" spans="1:13" ht="27.6">
      <c r="A3" s="121" t="s">
        <v>45</v>
      </c>
      <c r="B3" s="121" t="s">
        <v>491</v>
      </c>
      <c r="C3" s="121" t="s">
        <v>47</v>
      </c>
      <c r="D3" s="121" t="s">
        <v>48</v>
      </c>
      <c r="E3" s="121" t="s">
        <v>49</v>
      </c>
      <c r="F3" s="121" t="s">
        <v>50</v>
      </c>
      <c r="G3" s="121" t="s">
        <v>51</v>
      </c>
      <c r="H3" s="121" t="s">
        <v>52</v>
      </c>
      <c r="I3" s="122" t="s">
        <v>53</v>
      </c>
      <c r="J3" s="121" t="s">
        <v>54</v>
      </c>
      <c r="K3" s="129" t="s">
        <v>58</v>
      </c>
      <c r="L3" s="129" t="s">
        <v>676</v>
      </c>
      <c r="M3" s="129" t="s">
        <v>55</v>
      </c>
    </row>
    <row r="4" spans="1:13">
      <c r="A4" s="114"/>
      <c r="B4" s="32"/>
      <c r="C4" s="32"/>
      <c r="D4" s="32"/>
      <c r="E4" s="32"/>
      <c r="F4" s="34"/>
      <c r="G4" s="34"/>
      <c r="H4" s="32"/>
      <c r="I4" s="77"/>
      <c r="J4" s="68"/>
      <c r="K4" s="81"/>
      <c r="L4" s="81"/>
      <c r="M4" s="144"/>
    </row>
    <row r="5" spans="1:13">
      <c r="A5" s="114"/>
      <c r="B5" s="32"/>
      <c r="C5" s="32"/>
      <c r="D5" s="32"/>
      <c r="E5" s="32"/>
      <c r="F5" s="34"/>
      <c r="G5" s="34"/>
      <c r="H5" s="32"/>
      <c r="I5" s="77"/>
      <c r="J5" s="68"/>
      <c r="K5" s="81"/>
      <c r="L5" s="81"/>
      <c r="M5" s="144"/>
    </row>
    <row r="6" spans="1:13">
      <c r="A6" s="114"/>
      <c r="B6" s="32"/>
      <c r="C6" s="32"/>
      <c r="D6" s="32"/>
      <c r="E6" s="32"/>
      <c r="F6" s="34"/>
      <c r="G6" s="34"/>
      <c r="H6" s="32"/>
      <c r="I6" s="77"/>
      <c r="J6" s="68"/>
      <c r="K6" s="81"/>
      <c r="L6" s="81"/>
      <c r="M6" s="144"/>
    </row>
  </sheetData>
  <conditionalFormatting sqref="A2:A3 E2:E3">
    <cfRule type="duplicateValues" dxfId="1886" priority="24"/>
  </conditionalFormatting>
  <conditionalFormatting sqref="A2:A3">
    <cfRule type="duplicateValues" dxfId="1885" priority="25"/>
    <cfRule type="duplicateValues" dxfId="1884" priority="26"/>
  </conditionalFormatting>
  <conditionalFormatting sqref="A3">
    <cfRule type="duplicateValues" dxfId="1883" priority="27"/>
    <cfRule type="duplicateValues" dxfId="1882" priority="30"/>
    <cfRule type="duplicateValues" dxfId="1881" priority="32"/>
    <cfRule type="duplicateValues" dxfId="1880" priority="35"/>
  </conditionalFormatting>
  <conditionalFormatting sqref="A4:A6">
    <cfRule type="duplicateValues" dxfId="1879" priority="9"/>
    <cfRule type="duplicateValues" dxfId="1878" priority="10"/>
    <cfRule type="duplicateValues" dxfId="1877" priority="11"/>
    <cfRule type="duplicateValues" dxfId="1876" priority="12"/>
    <cfRule type="duplicateValues" dxfId="1875" priority="13"/>
    <cfRule type="duplicateValues" dxfId="1874" priority="14"/>
    <cfRule type="duplicateValues" dxfId="1873" priority="15"/>
    <cfRule type="duplicateValues" dxfId="1872" priority="16"/>
  </conditionalFormatting>
  <conditionalFormatting sqref="E3">
    <cfRule type="duplicateValues" dxfId="1871" priority="28"/>
    <cfRule type="duplicateValues" dxfId="1870" priority="29"/>
    <cfRule type="duplicateValues" dxfId="1869" priority="31"/>
    <cfRule type="duplicateValues" dxfId="1868" priority="33"/>
    <cfRule type="duplicateValues" dxfId="1867" priority="34"/>
    <cfRule type="duplicateValues" dxfId="1866" priority="36"/>
  </conditionalFormatting>
  <conditionalFormatting sqref="E4:E6">
    <cfRule type="duplicateValues" dxfId="1865" priority="17"/>
    <cfRule type="duplicateValues" dxfId="1864" priority="18"/>
    <cfRule type="duplicateValues" dxfId="1863" priority="19"/>
    <cfRule type="duplicateValues" dxfId="1862" priority="20"/>
    <cfRule type="duplicateValues" dxfId="1861" priority="21"/>
    <cfRule type="duplicateValues" dxfId="1860" priority="22"/>
    <cfRule type="duplicateValues" dxfId="1859" priority="23"/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FA693-62C3-42A1-AA21-3122CC57EE0F}">
  <sheetPr codeName="Hoja22">
    <tabColor theme="8" tint="0.79998168889431442"/>
  </sheetPr>
  <dimension ref="A1:X20"/>
  <sheetViews>
    <sheetView workbookViewId="0">
      <selection activeCell="P2" sqref="P2:Q3"/>
    </sheetView>
  </sheetViews>
  <sheetFormatPr defaultColWidth="11.42578125" defaultRowHeight="14.45"/>
  <cols>
    <col min="2" max="2" width="12.42578125" bestFit="1" customWidth="1"/>
    <col min="3" max="3" width="12.7109375" customWidth="1"/>
    <col min="4" max="4" width="13.28515625" customWidth="1"/>
    <col min="10" max="10" width="16.7109375" customWidth="1"/>
    <col min="14" max="14" width="14.28515625" customWidth="1"/>
  </cols>
  <sheetData>
    <row r="1" spans="1:24" ht="18">
      <c r="N1" s="111">
        <f>SUM(M3:M25)-SUM(Q3:Q5)</f>
        <v>0</v>
      </c>
    </row>
    <row r="2" spans="1:24" ht="28.9">
      <c r="A2" s="78" t="s">
        <v>45</v>
      </c>
      <c r="B2" s="78" t="s">
        <v>491</v>
      </c>
      <c r="C2" s="78" t="s">
        <v>47</v>
      </c>
      <c r="D2" s="78" t="s">
        <v>49</v>
      </c>
      <c r="E2" s="78" t="s">
        <v>50</v>
      </c>
      <c r="F2" s="78" t="s">
        <v>51</v>
      </c>
      <c r="G2" s="3" t="s">
        <v>2167</v>
      </c>
      <c r="H2" s="78" t="s">
        <v>52</v>
      </c>
      <c r="I2" s="79" t="s">
        <v>53</v>
      </c>
      <c r="J2" s="78" t="s">
        <v>54</v>
      </c>
      <c r="K2" s="78" t="s">
        <v>58</v>
      </c>
      <c r="L2" s="78" t="s">
        <v>675</v>
      </c>
      <c r="M2" s="78" t="s">
        <v>55</v>
      </c>
      <c r="P2" s="61" t="s">
        <v>56</v>
      </c>
      <c r="Q2" s="62" t="s">
        <v>57</v>
      </c>
    </row>
    <row r="3" spans="1:24">
      <c r="A3" s="106"/>
      <c r="B3" s="33"/>
      <c r="C3" s="33"/>
      <c r="D3" s="33"/>
      <c r="E3" s="34"/>
      <c r="F3" s="34"/>
      <c r="G3" s="105"/>
      <c r="H3" s="32"/>
      <c r="I3" s="35"/>
      <c r="J3" s="68"/>
      <c r="K3" s="113"/>
      <c r="L3" s="113"/>
      <c r="M3" s="113"/>
      <c r="N3" s="108"/>
      <c r="P3" s="74"/>
      <c r="Q3" s="76"/>
    </row>
    <row r="4" spans="1:24">
      <c r="A4" s="106"/>
      <c r="B4" s="33"/>
      <c r="C4" s="33"/>
      <c r="D4" s="33"/>
      <c r="E4" s="34"/>
      <c r="F4" s="34"/>
      <c r="G4" s="105"/>
      <c r="H4" s="32"/>
      <c r="I4" s="35"/>
      <c r="J4" s="68"/>
      <c r="K4" s="113"/>
      <c r="L4" s="113"/>
      <c r="M4" s="113"/>
    </row>
    <row r="5" spans="1:24">
      <c r="A5" s="106"/>
      <c r="B5" s="33"/>
      <c r="C5" s="33"/>
      <c r="D5" s="34"/>
      <c r="E5" s="34"/>
      <c r="F5" s="34"/>
      <c r="G5" s="105"/>
      <c r="H5" s="32"/>
      <c r="I5" s="35"/>
      <c r="J5" s="68"/>
      <c r="K5" s="113"/>
      <c r="L5" s="113"/>
      <c r="M5" s="113"/>
    </row>
    <row r="13" spans="1:24">
      <c r="X13">
        <v>0</v>
      </c>
    </row>
    <row r="20" spans="15:15">
      <c r="O20" t="s">
        <v>2168</v>
      </c>
    </row>
  </sheetData>
  <conditionalFormatting sqref="A1:A1048576">
    <cfRule type="duplicateValues" dxfId="1858" priority="1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6F9CA-B612-4108-ADC0-BF391FB0CDCB}">
  <sheetPr codeName="Hoja24">
    <tabColor theme="2" tint="-0.89999084444715716"/>
  </sheetPr>
  <dimension ref="A1:Q5"/>
  <sheetViews>
    <sheetView workbookViewId="0">
      <selection activeCell="L19" sqref="L19"/>
    </sheetView>
  </sheetViews>
  <sheetFormatPr defaultColWidth="11.42578125" defaultRowHeight="14.45"/>
  <cols>
    <col min="5" max="5" width="12.7109375" bestFit="1" customWidth="1"/>
    <col min="10" max="10" width="12.7109375" customWidth="1"/>
  </cols>
  <sheetData>
    <row r="1" spans="1:17" ht="18">
      <c r="N1" s="169">
        <f>SUM(N3:N30)-(SUM(Q4:Q15))</f>
        <v>0</v>
      </c>
    </row>
    <row r="2" spans="1:17" ht="27.6">
      <c r="A2" s="121" t="s">
        <v>45</v>
      </c>
      <c r="B2" s="121" t="s">
        <v>491</v>
      </c>
      <c r="C2" s="121" t="s">
        <v>47</v>
      </c>
      <c r="D2" s="121" t="s">
        <v>48</v>
      </c>
      <c r="E2" s="121" t="s">
        <v>49</v>
      </c>
      <c r="F2" s="121" t="s">
        <v>50</v>
      </c>
      <c r="G2" s="121" t="s">
        <v>51</v>
      </c>
      <c r="H2" s="121" t="s">
        <v>52</v>
      </c>
      <c r="I2" s="122" t="s">
        <v>53</v>
      </c>
      <c r="J2" s="121" t="s">
        <v>54</v>
      </c>
      <c r="K2" s="129" t="s">
        <v>58</v>
      </c>
      <c r="L2" s="129" t="s">
        <v>676</v>
      </c>
      <c r="M2" s="129" t="s">
        <v>675</v>
      </c>
      <c r="N2" s="129" t="s">
        <v>55</v>
      </c>
    </row>
    <row r="3" spans="1:17">
      <c r="A3" s="32"/>
      <c r="B3" s="32"/>
      <c r="C3" s="32"/>
      <c r="D3" s="32"/>
      <c r="E3" s="32"/>
      <c r="F3" s="34"/>
      <c r="G3" s="105"/>
      <c r="H3" s="32"/>
      <c r="I3" s="77"/>
      <c r="J3" s="112"/>
      <c r="K3" s="113"/>
      <c r="L3" s="107"/>
      <c r="M3" s="107"/>
      <c r="N3" s="142"/>
      <c r="P3" s="61" t="s">
        <v>56</v>
      </c>
      <c r="Q3" s="62" t="s">
        <v>57</v>
      </c>
    </row>
    <row r="4" spans="1:17">
      <c r="A4" s="32"/>
      <c r="B4" s="32"/>
      <c r="C4" s="32"/>
      <c r="D4" s="32"/>
      <c r="E4" s="32"/>
      <c r="F4" s="34"/>
      <c r="G4" s="105"/>
      <c r="H4" s="32"/>
      <c r="I4" s="77"/>
      <c r="J4" s="112"/>
      <c r="K4" s="113"/>
      <c r="L4" s="107"/>
      <c r="M4" s="107"/>
      <c r="N4" s="142"/>
      <c r="P4" s="74"/>
      <c r="Q4" s="135"/>
    </row>
    <row r="5" spans="1:17">
      <c r="A5" s="32"/>
      <c r="B5" s="32"/>
      <c r="C5" s="32"/>
      <c r="D5" s="32"/>
      <c r="E5" s="32"/>
      <c r="F5" s="34"/>
      <c r="G5" s="105"/>
      <c r="H5" s="32"/>
      <c r="I5" s="77"/>
      <c r="J5" s="112"/>
      <c r="K5" s="113"/>
      <c r="L5" s="107"/>
      <c r="M5" s="107"/>
      <c r="N5" s="142"/>
      <c r="P5" s="74"/>
      <c r="Q5" s="135"/>
    </row>
  </sheetData>
  <conditionalFormatting sqref="A2">
    <cfRule type="duplicateValues" dxfId="1857" priority="7"/>
    <cfRule type="duplicateValues" dxfId="1856" priority="10"/>
    <cfRule type="duplicateValues" dxfId="1855" priority="12"/>
    <cfRule type="duplicateValues" dxfId="1854" priority="15"/>
  </conditionalFormatting>
  <conditionalFormatting sqref="A3">
    <cfRule type="duplicateValues" dxfId="1853" priority="6"/>
  </conditionalFormatting>
  <conditionalFormatting sqref="A4:A5">
    <cfRule type="duplicateValues" dxfId="1852" priority="2"/>
  </conditionalFormatting>
  <conditionalFormatting sqref="E2">
    <cfRule type="duplicateValues" dxfId="1851" priority="8"/>
    <cfRule type="duplicateValues" dxfId="1850" priority="9"/>
    <cfRule type="duplicateValues" dxfId="1849" priority="11"/>
    <cfRule type="duplicateValues" dxfId="1848" priority="13"/>
    <cfRule type="duplicateValues" dxfId="1847" priority="14"/>
    <cfRule type="duplicateValues" dxfId="1846" priority="16"/>
  </conditionalFormatting>
  <conditionalFormatting sqref="E3">
    <cfRule type="duplicateValues" dxfId="1845" priority="5"/>
  </conditionalFormatting>
  <conditionalFormatting sqref="E4:E5">
    <cfRule type="duplicateValues" dxfId="1844" priority="1"/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14656-B202-4468-BF3F-D5846FF0446C}">
  <sheetPr codeName="Hoja40"/>
  <dimension ref="A1:R11"/>
  <sheetViews>
    <sheetView topLeftCell="K1" workbookViewId="0">
      <selection activeCell="B19" sqref="B19"/>
    </sheetView>
  </sheetViews>
  <sheetFormatPr defaultColWidth="11.42578125" defaultRowHeight="14.45"/>
  <cols>
    <col min="1" max="2" width="18.140625" style="90" customWidth="1"/>
    <col min="3" max="3" width="19.7109375" style="91" bestFit="1" customWidth="1"/>
    <col min="4" max="4" width="13.42578125" style="57" bestFit="1" customWidth="1"/>
    <col min="5" max="5" width="13.7109375" style="92" bestFit="1" customWidth="1"/>
    <col min="6" max="6" width="7.140625" style="92" customWidth="1"/>
    <col min="7" max="7" width="7.42578125" style="57" customWidth="1"/>
    <col min="8" max="8" width="12.7109375" style="57" bestFit="1" customWidth="1"/>
    <col min="9" max="9" width="12.7109375" style="58" bestFit="1" customWidth="1"/>
    <col min="10" max="10" width="18.7109375" style="131" customWidth="1"/>
    <col min="11" max="11" width="15.7109375" style="52" bestFit="1" customWidth="1"/>
    <col min="12" max="13" width="10.7109375" style="157" customWidth="1"/>
    <col min="14" max="14" width="10.7109375" customWidth="1"/>
    <col min="15" max="15" width="12.42578125" customWidth="1"/>
    <col min="16" max="16" width="16.7109375" style="57" bestFit="1" customWidth="1"/>
    <col min="17" max="17" width="11.140625" style="59" bestFit="1" customWidth="1"/>
  </cols>
  <sheetData>
    <row r="1" spans="1:18" ht="15" customHeight="1">
      <c r="D1" s="91"/>
      <c r="E1" s="57"/>
      <c r="G1" s="92"/>
      <c r="I1" s="57"/>
      <c r="J1" s="98"/>
      <c r="K1" s="130"/>
      <c r="L1" s="156"/>
      <c r="M1" s="156"/>
      <c r="N1" s="100"/>
      <c r="O1" s="138"/>
      <c r="P1" s="115">
        <f>SUM(O3:O119)</f>
        <v>8280</v>
      </c>
      <c r="Q1" s="57"/>
      <c r="R1" s="59"/>
    </row>
    <row r="2" spans="1:18" ht="24.4" customHeight="1">
      <c r="A2" s="39" t="s">
        <v>45</v>
      </c>
      <c r="B2" s="39" t="s">
        <v>2169</v>
      </c>
      <c r="C2" s="39" t="s">
        <v>491</v>
      </c>
      <c r="D2" s="39" t="s">
        <v>47</v>
      </c>
      <c r="E2" s="39" t="s">
        <v>49</v>
      </c>
      <c r="F2" s="60" t="s">
        <v>50</v>
      </c>
      <c r="G2" s="60" t="s">
        <v>51</v>
      </c>
      <c r="H2" s="39" t="s">
        <v>52</v>
      </c>
      <c r="I2" s="40" t="s">
        <v>53</v>
      </c>
      <c r="J2" s="40" t="s">
        <v>54</v>
      </c>
      <c r="K2" s="101" t="s">
        <v>58</v>
      </c>
      <c r="L2" s="353" t="s">
        <v>766</v>
      </c>
      <c r="M2" s="137" t="s">
        <v>612</v>
      </c>
      <c r="N2" s="137" t="s">
        <v>55</v>
      </c>
      <c r="O2" s="204"/>
      <c r="P2" s="462"/>
      <c r="Q2" s="57"/>
      <c r="R2" s="59"/>
    </row>
    <row r="3" spans="1:18" ht="25.15" customHeight="1">
      <c r="A3" s="7" t="s">
        <v>2170</v>
      </c>
      <c r="B3" s="7" t="s">
        <v>2171</v>
      </c>
      <c r="C3" s="211" t="s">
        <v>2172</v>
      </c>
      <c r="D3" s="8" t="s">
        <v>2173</v>
      </c>
      <c r="E3" s="226" t="s">
        <v>2174</v>
      </c>
      <c r="F3" s="9">
        <v>46128</v>
      </c>
      <c r="G3" s="9">
        <v>46150</v>
      </c>
      <c r="H3" s="226" t="s">
        <v>507</v>
      </c>
      <c r="I3" s="226" t="s">
        <v>66</v>
      </c>
      <c r="J3" s="221" t="s">
        <v>105</v>
      </c>
      <c r="K3" s="279">
        <v>3050</v>
      </c>
      <c r="L3" s="280">
        <v>280</v>
      </c>
      <c r="M3" s="280">
        <v>950</v>
      </c>
      <c r="N3" s="280">
        <f t="shared" ref="N3:N4" si="0">K3+M3+L3</f>
        <v>4280</v>
      </c>
      <c r="O3" s="296">
        <v>0</v>
      </c>
      <c r="P3" s="462"/>
      <c r="Q3" s="132" t="s">
        <v>56</v>
      </c>
      <c r="R3" s="133" t="s">
        <v>57</v>
      </c>
    </row>
    <row r="4" spans="1:18" ht="25.15" customHeight="1">
      <c r="A4" s="7" t="s">
        <v>2175</v>
      </c>
      <c r="B4" s="7" t="s">
        <v>2171</v>
      </c>
      <c r="C4" s="211" t="s">
        <v>2172</v>
      </c>
      <c r="D4" s="8" t="s">
        <v>2173</v>
      </c>
      <c r="E4" s="226" t="s">
        <v>2176</v>
      </c>
      <c r="F4" s="9">
        <v>46150</v>
      </c>
      <c r="G4" s="9">
        <v>46169</v>
      </c>
      <c r="H4" s="226" t="s">
        <v>507</v>
      </c>
      <c r="I4" s="226" t="s">
        <v>66</v>
      </c>
      <c r="J4" s="221" t="s">
        <v>105</v>
      </c>
      <c r="K4" s="279">
        <v>3400</v>
      </c>
      <c r="L4" s="280">
        <v>280</v>
      </c>
      <c r="M4" s="280">
        <v>0</v>
      </c>
      <c r="N4" s="280">
        <f t="shared" si="0"/>
        <v>3680</v>
      </c>
      <c r="O4" s="296">
        <v>0</v>
      </c>
      <c r="Q4" s="150">
        <v>46177</v>
      </c>
      <c r="R4" s="151">
        <v>7960</v>
      </c>
    </row>
    <row r="5" spans="1:18">
      <c r="A5" s="7" t="s">
        <v>2177</v>
      </c>
      <c r="B5" s="7" t="s">
        <v>2171</v>
      </c>
      <c r="C5" s="211" t="s">
        <v>2172</v>
      </c>
      <c r="D5" s="8" t="s">
        <v>2173</v>
      </c>
      <c r="E5" s="226" t="s">
        <v>2178</v>
      </c>
      <c r="F5" s="9">
        <v>46214</v>
      </c>
      <c r="G5" s="9">
        <v>46245</v>
      </c>
      <c r="H5" s="226" t="s">
        <v>100</v>
      </c>
      <c r="I5" s="226" t="s">
        <v>85</v>
      </c>
      <c r="J5" s="221" t="s">
        <v>105</v>
      </c>
      <c r="K5" s="279">
        <v>5900</v>
      </c>
      <c r="L5" s="280">
        <v>280</v>
      </c>
      <c r="M5" s="280">
        <v>0</v>
      </c>
      <c r="N5" s="280">
        <f>K5+M5+L5</f>
        <v>6180</v>
      </c>
      <c r="O5" s="296">
        <v>0</v>
      </c>
      <c r="P5" s="59"/>
      <c r="Q5" s="150">
        <v>46283</v>
      </c>
      <c r="R5" s="151">
        <v>11910</v>
      </c>
    </row>
    <row r="6" spans="1:18">
      <c r="A6" s="7" t="s">
        <v>2179</v>
      </c>
      <c r="B6" s="7" t="s">
        <v>2171</v>
      </c>
      <c r="C6" s="211" t="s">
        <v>2172</v>
      </c>
      <c r="D6" s="8" t="s">
        <v>2173</v>
      </c>
      <c r="E6" s="226" t="s">
        <v>2180</v>
      </c>
      <c r="F6" s="9">
        <v>46235</v>
      </c>
      <c r="G6" s="9">
        <v>46271</v>
      </c>
      <c r="H6" s="226" t="s">
        <v>100</v>
      </c>
      <c r="I6" s="226" t="s">
        <v>85</v>
      </c>
      <c r="J6" s="221" t="s">
        <v>105</v>
      </c>
      <c r="K6" s="279">
        <v>5450</v>
      </c>
      <c r="L6" s="280">
        <v>280</v>
      </c>
      <c r="M6" s="280">
        <v>0</v>
      </c>
      <c r="N6" s="280">
        <f>K6+M6+L6</f>
        <v>5730</v>
      </c>
      <c r="O6" s="296">
        <v>0</v>
      </c>
    </row>
    <row r="7" spans="1:18">
      <c r="A7" s="15" t="s">
        <v>2181</v>
      </c>
      <c r="B7" s="15" t="s">
        <v>2171</v>
      </c>
      <c r="C7" s="218" t="s">
        <v>2172</v>
      </c>
      <c r="D7" s="16" t="s">
        <v>2173</v>
      </c>
      <c r="E7" s="200" t="s">
        <v>2182</v>
      </c>
      <c r="F7" s="17">
        <v>46274</v>
      </c>
      <c r="G7" s="17">
        <v>46297</v>
      </c>
      <c r="H7" s="200" t="s">
        <v>1175</v>
      </c>
      <c r="I7" s="200" t="s">
        <v>85</v>
      </c>
      <c r="J7" s="372" t="s">
        <v>105</v>
      </c>
      <c r="K7" s="373">
        <v>8000</v>
      </c>
      <c r="L7" s="374">
        <v>280</v>
      </c>
      <c r="M7" s="374">
        <v>0</v>
      </c>
      <c r="N7" s="374">
        <f>K7+M7+L7</f>
        <v>8280</v>
      </c>
      <c r="O7" s="375">
        <v>8280</v>
      </c>
    </row>
    <row r="8" spans="1:18">
      <c r="A8" s="265"/>
      <c r="B8" s="265"/>
      <c r="C8" s="266"/>
      <c r="D8" s="266"/>
      <c r="E8" s="267"/>
      <c r="F8" s="267"/>
      <c r="G8" s="266"/>
      <c r="H8" s="266"/>
      <c r="I8" s="268"/>
      <c r="J8" s="269"/>
      <c r="K8" s="270"/>
      <c r="L8" s="269"/>
      <c r="M8" s="269"/>
      <c r="N8" s="271"/>
      <c r="O8" s="271"/>
    </row>
    <row r="9" spans="1:18">
      <c r="A9" s="265"/>
      <c r="B9" s="265"/>
      <c r="C9" s="266"/>
      <c r="D9" s="266"/>
      <c r="E9" s="267"/>
      <c r="F9" s="267"/>
      <c r="G9" s="266"/>
      <c r="H9" s="266"/>
      <c r="I9" s="268"/>
      <c r="J9" s="269"/>
      <c r="K9" s="270"/>
      <c r="L9" s="269"/>
      <c r="M9" s="269"/>
      <c r="N9" s="271"/>
      <c r="O9" s="271"/>
    </row>
    <row r="10" spans="1:18">
      <c r="A10" s="265"/>
      <c r="B10" s="265"/>
      <c r="C10" s="266"/>
      <c r="D10" s="266"/>
      <c r="E10" s="267"/>
      <c r="F10" s="267"/>
      <c r="G10" s="266"/>
      <c r="H10" s="266"/>
      <c r="I10" s="268"/>
      <c r="J10" s="269"/>
      <c r="K10" s="270"/>
      <c r="L10" s="269"/>
      <c r="M10" s="269"/>
      <c r="N10" s="271"/>
      <c r="O10" s="271"/>
    </row>
    <row r="11" spans="1:18">
      <c r="A11" s="265"/>
      <c r="B11" s="265"/>
      <c r="C11" s="266"/>
      <c r="D11" s="266"/>
      <c r="E11" s="267"/>
      <c r="F11" s="267"/>
      <c r="G11" s="266"/>
      <c r="H11" s="266"/>
      <c r="I11" s="268"/>
      <c r="J11" s="269"/>
      <c r="K11" s="270"/>
      <c r="L11" s="269"/>
      <c r="M11" s="269"/>
      <c r="N11" s="271"/>
      <c r="O11" s="271"/>
    </row>
  </sheetData>
  <mergeCells count="1">
    <mergeCell ref="P2:P3"/>
  </mergeCells>
  <conditionalFormatting sqref="A1:A2">
    <cfRule type="duplicateValues" dxfId="1843" priority="36"/>
    <cfRule type="duplicateValues" dxfId="1842" priority="38"/>
    <cfRule type="duplicateValues" dxfId="1841" priority="39"/>
    <cfRule type="duplicateValues" dxfId="1840" priority="41"/>
    <cfRule type="duplicateValues" dxfId="1839" priority="42"/>
    <cfRule type="duplicateValues" dxfId="1838" priority="43"/>
    <cfRule type="duplicateValues" dxfId="1837" priority="44"/>
    <cfRule type="duplicateValues" dxfId="1836" priority="49"/>
  </conditionalFormatting>
  <conditionalFormatting sqref="A1:A6 A8:A1048576">
    <cfRule type="duplicateValues" dxfId="1835" priority="33"/>
    <cfRule type="duplicateValues" dxfId="1834" priority="52"/>
    <cfRule type="duplicateValues" dxfId="1833" priority="53"/>
  </conditionalFormatting>
  <conditionalFormatting sqref="A3:A6">
    <cfRule type="duplicateValues" dxfId="1832" priority="4298"/>
    <cfRule type="duplicateValues" dxfId="1831" priority="4299"/>
    <cfRule type="duplicateValues" dxfId="1830" priority="4300"/>
    <cfRule type="duplicateValues" dxfId="1829" priority="4301"/>
    <cfRule type="duplicateValues" dxfId="1828" priority="4302"/>
    <cfRule type="duplicateValues" dxfId="1827" priority="4303"/>
    <cfRule type="duplicateValues" dxfId="1826" priority="4304"/>
    <cfRule type="duplicateValues" dxfId="1825" priority="4305"/>
    <cfRule type="duplicateValues" dxfId="1824" priority="4306"/>
    <cfRule type="duplicateValues" dxfId="1823" priority="4307"/>
    <cfRule type="duplicateValues" dxfId="1822" priority="4308"/>
    <cfRule type="duplicateValues" dxfId="1821" priority="4309"/>
    <cfRule type="duplicateValues" dxfId="1820" priority="4310"/>
    <cfRule type="duplicateValues" dxfId="1819" priority="4311"/>
    <cfRule type="duplicateValues" dxfId="1818" priority="4312"/>
  </conditionalFormatting>
  <conditionalFormatting sqref="A7">
    <cfRule type="duplicateValues" dxfId="1817" priority="1"/>
    <cfRule type="duplicateValues" dxfId="1816" priority="5"/>
    <cfRule type="duplicateValues" dxfId="1815" priority="6"/>
    <cfRule type="duplicateValues" dxfId="1814" priority="7"/>
    <cfRule type="duplicateValues" dxfId="1813" priority="8"/>
    <cfRule type="duplicateValues" dxfId="1812" priority="9"/>
    <cfRule type="duplicateValues" dxfId="1811" priority="10"/>
    <cfRule type="duplicateValues" dxfId="1810" priority="11"/>
    <cfRule type="duplicateValues" dxfId="1809" priority="12"/>
    <cfRule type="duplicateValues" dxfId="1808" priority="13"/>
    <cfRule type="duplicateValues" dxfId="1807" priority="14"/>
    <cfRule type="duplicateValues" dxfId="1806" priority="15"/>
    <cfRule type="duplicateValues" dxfId="1805" priority="16"/>
    <cfRule type="duplicateValues" dxfId="1804" priority="17"/>
    <cfRule type="duplicateValues" dxfId="1803" priority="18"/>
    <cfRule type="duplicateValues" dxfId="1802" priority="19"/>
    <cfRule type="duplicateValues" dxfId="1801" priority="20"/>
    <cfRule type="duplicateValues" dxfId="1800" priority="21"/>
  </conditionalFormatting>
  <conditionalFormatting sqref="A8:A1048576 A1:A2">
    <cfRule type="duplicateValues" dxfId="1799" priority="95"/>
    <cfRule type="duplicateValues" dxfId="1798" priority="96"/>
    <cfRule type="duplicateValues" dxfId="1797" priority="97"/>
    <cfRule type="duplicateValues" dxfId="1796" priority="98"/>
    <cfRule type="duplicateValues" dxfId="1795" priority="99"/>
    <cfRule type="duplicateValues" dxfId="1794" priority="100"/>
    <cfRule type="duplicateValues" dxfId="1793" priority="101"/>
  </conditionalFormatting>
  <conditionalFormatting sqref="A8:A1048576">
    <cfRule type="duplicateValues" dxfId="1792" priority="102"/>
    <cfRule type="duplicateValues" dxfId="1791" priority="103"/>
    <cfRule type="duplicateValues" dxfId="1790" priority="104"/>
  </conditionalFormatting>
  <conditionalFormatting sqref="E1:E2">
    <cfRule type="duplicateValues" dxfId="1789" priority="37"/>
    <cfRule type="duplicateValues" dxfId="1788" priority="40"/>
    <cfRule type="duplicateValues" dxfId="1787" priority="45"/>
    <cfRule type="duplicateValues" dxfId="1786" priority="46"/>
    <cfRule type="duplicateValues" dxfId="1785" priority="47"/>
    <cfRule type="duplicateValues" dxfId="1784" priority="48"/>
    <cfRule type="duplicateValues" dxfId="1783" priority="50"/>
  </conditionalFormatting>
  <conditionalFormatting sqref="E1:E6 A1:A6 A8:A1048576 E8:E1048576">
    <cfRule type="duplicateValues" dxfId="1782" priority="51"/>
  </conditionalFormatting>
  <conditionalFormatting sqref="E1:E6 E8:E1048576">
    <cfRule type="duplicateValues" dxfId="1781" priority="34"/>
    <cfRule type="duplicateValues" dxfId="1780" priority="35"/>
  </conditionalFormatting>
  <conditionalFormatting sqref="E3:E6">
    <cfRule type="duplicateValues" dxfId="1779" priority="4313"/>
    <cfRule type="duplicateValues" dxfId="1778" priority="4314"/>
    <cfRule type="duplicateValues" dxfId="1777" priority="4315"/>
    <cfRule type="duplicateValues" dxfId="1776" priority="4316"/>
    <cfRule type="duplicateValues" dxfId="1775" priority="4317"/>
    <cfRule type="duplicateValues" dxfId="1774" priority="4318"/>
    <cfRule type="duplicateValues" dxfId="1773" priority="4319"/>
    <cfRule type="duplicateValues" dxfId="1772" priority="4320"/>
    <cfRule type="duplicateValues" dxfId="1771" priority="4321"/>
    <cfRule type="duplicateValues" dxfId="1770" priority="4322"/>
    <cfRule type="duplicateValues" dxfId="1769" priority="4323"/>
  </conditionalFormatting>
  <conditionalFormatting sqref="E7 A7">
    <cfRule type="duplicateValues" dxfId="1768" priority="4"/>
  </conditionalFormatting>
  <conditionalFormatting sqref="E7">
    <cfRule type="duplicateValues" dxfId="1767" priority="2"/>
    <cfRule type="duplicateValues" dxfId="1766" priority="3"/>
    <cfRule type="duplicateValues" dxfId="1765" priority="22"/>
    <cfRule type="duplicateValues" dxfId="1764" priority="23"/>
    <cfRule type="duplicateValues" dxfId="1763" priority="24"/>
    <cfRule type="duplicateValues" dxfId="1762" priority="25"/>
    <cfRule type="duplicateValues" dxfId="1761" priority="26"/>
    <cfRule type="duplicateValues" dxfId="1760" priority="27"/>
    <cfRule type="duplicateValues" dxfId="1759" priority="28"/>
    <cfRule type="duplicateValues" dxfId="1758" priority="29"/>
    <cfRule type="duplicateValues" dxfId="1757" priority="30"/>
    <cfRule type="duplicateValues" dxfId="1756" priority="31"/>
    <cfRule type="duplicateValues" dxfId="1755" priority="32"/>
  </conditionalFormatting>
  <conditionalFormatting sqref="E8:E1048576 E1:E2">
    <cfRule type="duplicateValues" dxfId="1754" priority="116"/>
    <cfRule type="duplicateValues" dxfId="1753" priority="117"/>
    <cfRule type="duplicateValues" dxfId="1752" priority="118"/>
    <cfRule type="duplicateValues" dxfId="1751" priority="119"/>
    <cfRule type="duplicateValues" dxfId="1750" priority="120"/>
    <cfRule type="duplicateValues" dxfId="1749" priority="121"/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160E6-05B2-4D14-8220-31AA433C2C84}">
  <sheetPr codeName="Hoja38">
    <tabColor rgb="FF92D050"/>
  </sheetPr>
  <dimension ref="A1:R16"/>
  <sheetViews>
    <sheetView workbookViewId="0">
      <selection activeCell="C23" sqref="C23"/>
    </sheetView>
  </sheetViews>
  <sheetFormatPr defaultColWidth="11.42578125" defaultRowHeight="15" customHeight="1"/>
  <cols>
    <col min="1" max="2" width="18.140625" style="90" customWidth="1"/>
    <col min="3" max="3" width="19.7109375" style="91" bestFit="1" customWidth="1"/>
    <col min="4" max="4" width="13.42578125" style="57" bestFit="1" customWidth="1"/>
    <col min="5" max="5" width="13.7109375" style="92" bestFit="1" customWidth="1"/>
    <col min="6" max="6" width="7.140625" style="92" customWidth="1"/>
    <col min="7" max="7" width="7.42578125" style="57" customWidth="1"/>
    <col min="8" max="8" width="12.7109375" style="57" bestFit="1" customWidth="1"/>
    <col min="9" max="9" width="12.7109375" style="58" bestFit="1" customWidth="1"/>
    <col min="10" max="10" width="18.7109375" style="131" customWidth="1"/>
    <col min="11" max="11" width="15.7109375" style="52" bestFit="1" customWidth="1"/>
    <col min="12" max="13" width="10.7109375" style="157" customWidth="1"/>
    <col min="14" max="14" width="10.7109375" customWidth="1"/>
    <col min="15" max="15" width="12.42578125" customWidth="1"/>
    <col min="16" max="16" width="16.7109375" style="57" bestFit="1" customWidth="1"/>
    <col min="17" max="17" width="11.42578125" style="59"/>
  </cols>
  <sheetData>
    <row r="1" spans="1:18" ht="15" customHeight="1">
      <c r="D1" s="91"/>
      <c r="E1" s="57"/>
      <c r="G1" s="92"/>
      <c r="I1" s="57"/>
      <c r="J1" s="98"/>
      <c r="K1" s="130"/>
      <c r="L1" s="156"/>
      <c r="M1" s="156"/>
      <c r="N1" s="100"/>
      <c r="O1" s="138"/>
      <c r="P1" s="115">
        <f>SUM(O3:O124)</f>
        <v>36400</v>
      </c>
      <c r="Q1" s="57"/>
      <c r="R1" s="59"/>
    </row>
    <row r="2" spans="1:18" ht="24.4" customHeight="1">
      <c r="A2" s="39" t="s">
        <v>45</v>
      </c>
      <c r="B2" s="39" t="s">
        <v>2169</v>
      </c>
      <c r="C2" s="39" t="s">
        <v>491</v>
      </c>
      <c r="D2" s="39" t="s">
        <v>47</v>
      </c>
      <c r="E2" s="39" t="s">
        <v>49</v>
      </c>
      <c r="F2" s="60" t="s">
        <v>50</v>
      </c>
      <c r="G2" s="60" t="s">
        <v>51</v>
      </c>
      <c r="H2" s="39" t="s">
        <v>52</v>
      </c>
      <c r="I2" s="40" t="s">
        <v>53</v>
      </c>
      <c r="J2" s="40" t="s">
        <v>54</v>
      </c>
      <c r="K2" s="101" t="s">
        <v>58</v>
      </c>
      <c r="L2" s="101" t="s">
        <v>766</v>
      </c>
      <c r="M2" s="137" t="s">
        <v>612</v>
      </c>
      <c r="N2" s="137" t="s">
        <v>55</v>
      </c>
      <c r="O2" s="204"/>
      <c r="P2" s="462"/>
      <c r="Q2" s="57"/>
      <c r="R2" s="59"/>
    </row>
    <row r="3" spans="1:18" ht="14.45">
      <c r="A3" s="7" t="s">
        <v>2183</v>
      </c>
      <c r="B3" s="7" t="s">
        <v>2184</v>
      </c>
      <c r="C3" s="211" t="s">
        <v>2172</v>
      </c>
      <c r="D3" s="8" t="s">
        <v>2173</v>
      </c>
      <c r="E3" s="226" t="s">
        <v>2185</v>
      </c>
      <c r="F3" s="9">
        <v>46033</v>
      </c>
      <c r="G3" s="9">
        <v>46056</v>
      </c>
      <c r="H3" s="226" t="s">
        <v>149</v>
      </c>
      <c r="I3" s="226" t="s">
        <v>66</v>
      </c>
      <c r="J3" s="221" t="s">
        <v>105</v>
      </c>
      <c r="K3" s="279">
        <v>1600</v>
      </c>
      <c r="L3" s="280">
        <v>280</v>
      </c>
      <c r="M3" s="280">
        <v>0</v>
      </c>
      <c r="N3" s="280">
        <f>K3+L3+M3</f>
        <v>1880</v>
      </c>
      <c r="O3" s="296">
        <v>0</v>
      </c>
      <c r="P3" s="462"/>
      <c r="Q3" s="132" t="s">
        <v>56</v>
      </c>
      <c r="R3" s="133" t="s">
        <v>57</v>
      </c>
    </row>
    <row r="4" spans="1:18" ht="14.45">
      <c r="A4" s="7" t="s">
        <v>2186</v>
      </c>
      <c r="B4" s="7" t="s">
        <v>2184</v>
      </c>
      <c r="C4" s="211" t="s">
        <v>2172</v>
      </c>
      <c r="D4" s="8" t="s">
        <v>2173</v>
      </c>
      <c r="E4" s="226" t="s">
        <v>2187</v>
      </c>
      <c r="F4" s="9">
        <v>46033</v>
      </c>
      <c r="G4" s="9">
        <v>46056</v>
      </c>
      <c r="H4" s="226" t="s">
        <v>149</v>
      </c>
      <c r="I4" s="226" t="s">
        <v>66</v>
      </c>
      <c r="J4" s="221" t="s">
        <v>105</v>
      </c>
      <c r="K4" s="279">
        <v>1600</v>
      </c>
      <c r="L4" s="280">
        <v>280</v>
      </c>
      <c r="M4" s="280">
        <v>0</v>
      </c>
      <c r="N4" s="280">
        <f t="shared" ref="N4:N16" si="0">K4+M4+L4</f>
        <v>1880</v>
      </c>
      <c r="O4" s="296">
        <v>0</v>
      </c>
      <c r="Q4" s="150">
        <v>46216</v>
      </c>
      <c r="R4" s="151">
        <v>14180</v>
      </c>
    </row>
    <row r="5" spans="1:18" ht="14.45">
      <c r="A5" s="7" t="s">
        <v>2188</v>
      </c>
      <c r="B5" s="7" t="s">
        <v>2184</v>
      </c>
      <c r="C5" s="211" t="s">
        <v>2172</v>
      </c>
      <c r="D5" s="8" t="s">
        <v>2173</v>
      </c>
      <c r="E5" s="226" t="s">
        <v>2189</v>
      </c>
      <c r="F5" s="9">
        <v>46048</v>
      </c>
      <c r="G5" s="9">
        <v>46073</v>
      </c>
      <c r="H5" s="226" t="s">
        <v>89</v>
      </c>
      <c r="I5" s="226" t="s">
        <v>66</v>
      </c>
      <c r="J5" s="221" t="s">
        <v>105</v>
      </c>
      <c r="K5" s="279">
        <v>1450</v>
      </c>
      <c r="L5" s="280">
        <v>280</v>
      </c>
      <c r="M5" s="280">
        <v>0</v>
      </c>
      <c r="N5" s="280">
        <f t="shared" si="0"/>
        <v>1730</v>
      </c>
      <c r="O5" s="296">
        <v>0</v>
      </c>
      <c r="P5" s="59"/>
      <c r="Q5" s="150">
        <v>46282</v>
      </c>
      <c r="R5" s="151">
        <v>18190</v>
      </c>
    </row>
    <row r="6" spans="1:18" ht="14.45">
      <c r="A6" s="7" t="s">
        <v>2190</v>
      </c>
      <c r="B6" s="7" t="s">
        <v>2184</v>
      </c>
      <c r="C6" s="211" t="s">
        <v>2172</v>
      </c>
      <c r="D6" s="8" t="s">
        <v>2173</v>
      </c>
      <c r="E6" s="226" t="s">
        <v>2191</v>
      </c>
      <c r="F6" s="9">
        <v>46050</v>
      </c>
      <c r="G6" s="9">
        <v>46084</v>
      </c>
      <c r="H6" s="226" t="s">
        <v>89</v>
      </c>
      <c r="I6" s="226" t="s">
        <v>621</v>
      </c>
      <c r="J6" s="221" t="s">
        <v>105</v>
      </c>
      <c r="K6" s="279">
        <v>1450</v>
      </c>
      <c r="L6" s="280">
        <v>280</v>
      </c>
      <c r="M6" s="280">
        <v>0</v>
      </c>
      <c r="N6" s="280">
        <f t="shared" si="0"/>
        <v>1730</v>
      </c>
      <c r="O6" s="296">
        <v>0</v>
      </c>
      <c r="Q6" s="150"/>
      <c r="R6" s="151"/>
    </row>
    <row r="7" spans="1:18" ht="14.45">
      <c r="A7" s="7" t="s">
        <v>2192</v>
      </c>
      <c r="B7" s="7" t="s">
        <v>2184</v>
      </c>
      <c r="C7" s="211" t="s">
        <v>2172</v>
      </c>
      <c r="D7" s="8" t="s">
        <v>2173</v>
      </c>
      <c r="E7" s="226" t="s">
        <v>2193</v>
      </c>
      <c r="F7" s="9">
        <v>46129</v>
      </c>
      <c r="G7" s="9">
        <v>46150</v>
      </c>
      <c r="H7" s="226" t="s">
        <v>507</v>
      </c>
      <c r="I7" s="226" t="s">
        <v>66</v>
      </c>
      <c r="J7" s="221" t="s">
        <v>105</v>
      </c>
      <c r="K7" s="279">
        <v>3050</v>
      </c>
      <c r="L7" s="280">
        <v>280</v>
      </c>
      <c r="M7" s="280">
        <v>0</v>
      </c>
      <c r="N7" s="280">
        <f t="shared" si="0"/>
        <v>3330</v>
      </c>
      <c r="O7" s="296">
        <v>0</v>
      </c>
    </row>
    <row r="8" spans="1:18" ht="14.45">
      <c r="A8" s="7" t="s">
        <v>2194</v>
      </c>
      <c r="B8" s="7" t="s">
        <v>2184</v>
      </c>
      <c r="C8" s="211" t="s">
        <v>2172</v>
      </c>
      <c r="D8" s="8" t="s">
        <v>2173</v>
      </c>
      <c r="E8" s="226" t="s">
        <v>2195</v>
      </c>
      <c r="F8" s="9">
        <v>46127</v>
      </c>
      <c r="G8" s="9">
        <v>46155</v>
      </c>
      <c r="H8" s="226" t="s">
        <v>89</v>
      </c>
      <c r="I8" s="226" t="s">
        <v>621</v>
      </c>
      <c r="J8" s="221" t="s">
        <v>105</v>
      </c>
      <c r="K8" s="279">
        <v>3350</v>
      </c>
      <c r="L8" s="280">
        <v>280</v>
      </c>
      <c r="M8" s="280">
        <v>0</v>
      </c>
      <c r="N8" s="280">
        <f t="shared" si="0"/>
        <v>3630</v>
      </c>
      <c r="O8" s="296">
        <v>0</v>
      </c>
    </row>
    <row r="9" spans="1:18" ht="14.45">
      <c r="A9" s="7" t="s">
        <v>2196</v>
      </c>
      <c r="B9" s="7" t="s">
        <v>2184</v>
      </c>
      <c r="C9" s="211" t="s">
        <v>2172</v>
      </c>
      <c r="D9" s="8" t="s">
        <v>2173</v>
      </c>
      <c r="E9" s="226" t="s">
        <v>2197</v>
      </c>
      <c r="F9" s="9">
        <v>46205</v>
      </c>
      <c r="G9" s="9">
        <v>46229</v>
      </c>
      <c r="H9" s="226" t="s">
        <v>507</v>
      </c>
      <c r="I9" s="226" t="s">
        <v>66</v>
      </c>
      <c r="J9" s="221" t="s">
        <v>105</v>
      </c>
      <c r="K9" s="279">
        <v>6300</v>
      </c>
      <c r="L9" s="280">
        <v>280</v>
      </c>
      <c r="M9" s="280">
        <v>0</v>
      </c>
      <c r="N9" s="280">
        <f t="shared" si="0"/>
        <v>6580</v>
      </c>
      <c r="O9" s="296">
        <v>0</v>
      </c>
    </row>
    <row r="10" spans="1:18" ht="14.45">
      <c r="A10" s="7" t="s">
        <v>2198</v>
      </c>
      <c r="B10" s="7" t="s">
        <v>2184</v>
      </c>
      <c r="C10" s="211" t="s">
        <v>2172</v>
      </c>
      <c r="D10" s="8" t="s">
        <v>2173</v>
      </c>
      <c r="E10" s="226" t="s">
        <v>2199</v>
      </c>
      <c r="F10" s="9">
        <v>46212</v>
      </c>
      <c r="G10" s="9">
        <v>46245</v>
      </c>
      <c r="H10" s="226" t="s">
        <v>507</v>
      </c>
      <c r="I10" s="226" t="s">
        <v>66</v>
      </c>
      <c r="J10" s="221" t="s">
        <v>105</v>
      </c>
      <c r="K10" s="279">
        <v>5800</v>
      </c>
      <c r="L10" s="280">
        <v>280</v>
      </c>
      <c r="M10" s="280">
        <v>0</v>
      </c>
      <c r="N10" s="280">
        <f t="shared" si="0"/>
        <v>6080</v>
      </c>
      <c r="O10" s="296">
        <v>0</v>
      </c>
    </row>
    <row r="11" spans="1:18" ht="14.45">
      <c r="A11" s="7" t="s">
        <v>2200</v>
      </c>
      <c r="B11" s="7" t="s">
        <v>2184</v>
      </c>
      <c r="C11" s="211" t="s">
        <v>2172</v>
      </c>
      <c r="D11" s="8" t="s">
        <v>2173</v>
      </c>
      <c r="E11" s="226" t="s">
        <v>2201</v>
      </c>
      <c r="F11" s="9">
        <v>46241</v>
      </c>
      <c r="G11" s="9">
        <v>46287</v>
      </c>
      <c r="H11" s="226" t="s">
        <v>89</v>
      </c>
      <c r="I11" s="226" t="s">
        <v>240</v>
      </c>
      <c r="J11" s="221" t="s">
        <v>105</v>
      </c>
      <c r="K11" s="279">
        <v>5250</v>
      </c>
      <c r="L11" s="280">
        <v>280</v>
      </c>
      <c r="M11" s="280">
        <v>0</v>
      </c>
      <c r="N11" s="280">
        <f t="shared" si="0"/>
        <v>5530</v>
      </c>
      <c r="O11" s="296">
        <v>0</v>
      </c>
    </row>
    <row r="12" spans="1:18" ht="14.45">
      <c r="A12" s="15" t="s">
        <v>2202</v>
      </c>
      <c r="B12" s="15" t="s">
        <v>2184</v>
      </c>
      <c r="C12" s="218" t="s">
        <v>2172</v>
      </c>
      <c r="D12" s="16" t="s">
        <v>2173</v>
      </c>
      <c r="E12" s="200" t="s">
        <v>2203</v>
      </c>
      <c r="F12" s="17">
        <v>46239</v>
      </c>
      <c r="G12" s="17">
        <v>46269</v>
      </c>
      <c r="H12" s="200" t="s">
        <v>89</v>
      </c>
      <c r="I12" s="200" t="s">
        <v>621</v>
      </c>
      <c r="J12" s="372" t="s">
        <v>105</v>
      </c>
      <c r="K12" s="373">
        <v>5700</v>
      </c>
      <c r="L12" s="374">
        <v>280</v>
      </c>
      <c r="M12" s="374">
        <v>0</v>
      </c>
      <c r="N12" s="374">
        <f t="shared" si="0"/>
        <v>5980</v>
      </c>
      <c r="O12" s="375">
        <v>5980</v>
      </c>
    </row>
    <row r="13" spans="1:18" ht="14.45">
      <c r="A13" s="15" t="s">
        <v>2204</v>
      </c>
      <c r="B13" s="15" t="s">
        <v>2184</v>
      </c>
      <c r="C13" s="218" t="s">
        <v>2172</v>
      </c>
      <c r="D13" s="16" t="s">
        <v>2173</v>
      </c>
      <c r="E13" s="200" t="s">
        <v>2205</v>
      </c>
      <c r="F13" s="17">
        <v>46253</v>
      </c>
      <c r="G13" s="17">
        <v>46287</v>
      </c>
      <c r="H13" s="200" t="s">
        <v>89</v>
      </c>
      <c r="I13" s="200" t="s">
        <v>621</v>
      </c>
      <c r="J13" s="372" t="s">
        <v>105</v>
      </c>
      <c r="K13" s="373">
        <v>6650</v>
      </c>
      <c r="L13" s="374">
        <v>280</v>
      </c>
      <c r="M13" s="374">
        <v>0</v>
      </c>
      <c r="N13" s="374">
        <f t="shared" si="0"/>
        <v>6930</v>
      </c>
      <c r="O13" s="375">
        <v>6930</v>
      </c>
    </row>
    <row r="14" spans="1:18" ht="14.45">
      <c r="A14" s="15" t="s">
        <v>2206</v>
      </c>
      <c r="B14" s="15" t="s">
        <v>2184</v>
      </c>
      <c r="C14" s="218" t="s">
        <v>2172</v>
      </c>
      <c r="D14" s="16" t="s">
        <v>2173</v>
      </c>
      <c r="E14" s="200" t="s">
        <v>2207</v>
      </c>
      <c r="F14" s="17">
        <v>46257</v>
      </c>
      <c r="G14" s="17">
        <v>46288</v>
      </c>
      <c r="H14" s="200" t="s">
        <v>84</v>
      </c>
      <c r="I14" s="200" t="s">
        <v>621</v>
      </c>
      <c r="J14" s="372" t="s">
        <v>105</v>
      </c>
      <c r="K14" s="373">
        <v>7600</v>
      </c>
      <c r="L14" s="374">
        <v>280</v>
      </c>
      <c r="M14" s="374">
        <v>0</v>
      </c>
      <c r="N14" s="374">
        <f t="shared" si="0"/>
        <v>7880</v>
      </c>
      <c r="O14" s="375">
        <v>7880</v>
      </c>
    </row>
    <row r="15" spans="1:18" ht="14.45">
      <c r="A15" s="15" t="s">
        <v>2208</v>
      </c>
      <c r="B15" s="15" t="s">
        <v>2184</v>
      </c>
      <c r="C15" s="218" t="s">
        <v>2172</v>
      </c>
      <c r="D15" s="16" t="s">
        <v>2173</v>
      </c>
      <c r="E15" s="200" t="s">
        <v>2209</v>
      </c>
      <c r="F15" s="17">
        <v>46254</v>
      </c>
      <c r="G15" s="17">
        <v>46289</v>
      </c>
      <c r="H15" s="200" t="s">
        <v>1175</v>
      </c>
      <c r="I15" s="200" t="s">
        <v>66</v>
      </c>
      <c r="J15" s="372" t="s">
        <v>105</v>
      </c>
      <c r="K15" s="373">
        <v>7500</v>
      </c>
      <c r="L15" s="374">
        <v>280</v>
      </c>
      <c r="M15" s="374">
        <v>0</v>
      </c>
      <c r="N15" s="374">
        <f t="shared" si="0"/>
        <v>7780</v>
      </c>
      <c r="O15" s="375">
        <v>7780</v>
      </c>
    </row>
    <row r="16" spans="1:18" ht="14.45">
      <c r="A16" s="32" t="s">
        <v>2210</v>
      </c>
      <c r="B16" s="32" t="s">
        <v>2184</v>
      </c>
      <c r="C16" s="106" t="s">
        <v>2172</v>
      </c>
      <c r="D16" s="33" t="s">
        <v>2173</v>
      </c>
      <c r="E16" s="264" t="s">
        <v>2211</v>
      </c>
      <c r="F16" s="34">
        <v>46255</v>
      </c>
      <c r="G16" s="34">
        <v>46299</v>
      </c>
      <c r="H16" s="264" t="s">
        <v>89</v>
      </c>
      <c r="I16" s="264" t="s">
        <v>66</v>
      </c>
      <c r="J16" s="207" t="s">
        <v>105</v>
      </c>
      <c r="K16" s="387">
        <v>7550</v>
      </c>
      <c r="L16" s="388">
        <v>280</v>
      </c>
      <c r="M16" s="388">
        <v>0</v>
      </c>
      <c r="N16" s="388">
        <f t="shared" si="0"/>
        <v>7830</v>
      </c>
      <c r="O16" s="389">
        <v>7830</v>
      </c>
    </row>
  </sheetData>
  <sortState xmlns:xlrd2="http://schemas.microsoft.com/office/spreadsheetml/2017/richdata2" ref="C3:O7">
    <sortCondition ref="G3:G7"/>
  </sortState>
  <mergeCells count="1">
    <mergeCell ref="P2:P3"/>
  </mergeCells>
  <conditionalFormatting sqref="A1:A2">
    <cfRule type="duplicateValues" dxfId="1748" priority="30"/>
    <cfRule type="duplicateValues" dxfId="1747" priority="32"/>
    <cfRule type="duplicateValues" dxfId="1746" priority="33"/>
    <cfRule type="duplicateValues" dxfId="1745" priority="35"/>
    <cfRule type="duplicateValues" dxfId="1744" priority="36"/>
    <cfRule type="duplicateValues" dxfId="1743" priority="37"/>
    <cfRule type="duplicateValues" dxfId="1742" priority="38"/>
    <cfRule type="duplicateValues" dxfId="1741" priority="43"/>
  </conditionalFormatting>
  <conditionalFormatting sqref="A1:A1048576 E1:E1048576">
    <cfRule type="duplicateValues" dxfId="1740" priority="45"/>
  </conditionalFormatting>
  <conditionalFormatting sqref="A1:A1048576">
    <cfRule type="duplicateValues" dxfId="1739" priority="27"/>
    <cfRule type="duplicateValues" dxfId="1738" priority="53"/>
    <cfRule type="duplicateValues" dxfId="1737" priority="54"/>
  </conditionalFormatting>
  <conditionalFormatting sqref="A3:A6">
    <cfRule type="duplicateValues" dxfId="1736" priority="64"/>
    <cfRule type="duplicateValues" dxfId="1735" priority="65"/>
    <cfRule type="duplicateValues" dxfId="1734" priority="66"/>
    <cfRule type="duplicateValues" dxfId="1733" priority="67"/>
    <cfRule type="duplicateValues" dxfId="1732" priority="68"/>
    <cfRule type="duplicateValues" dxfId="1731" priority="69"/>
    <cfRule type="duplicateValues" dxfId="1730" priority="70"/>
    <cfRule type="duplicateValues" dxfId="1729" priority="71"/>
    <cfRule type="duplicateValues" dxfId="1728" priority="72"/>
    <cfRule type="duplicateValues" dxfId="1727" priority="73"/>
    <cfRule type="duplicateValues" dxfId="1726" priority="74"/>
    <cfRule type="duplicateValues" dxfId="1725" priority="75"/>
    <cfRule type="duplicateValues" dxfId="1724" priority="76"/>
    <cfRule type="duplicateValues" dxfId="1723" priority="77"/>
    <cfRule type="duplicateValues" dxfId="1722" priority="78"/>
  </conditionalFormatting>
  <conditionalFormatting sqref="A7:A16">
    <cfRule type="duplicateValues" dxfId="1721" priority="4470"/>
    <cfRule type="duplicateValues" dxfId="1720" priority="4471"/>
    <cfRule type="duplicateValues" dxfId="1719" priority="4472"/>
    <cfRule type="duplicateValues" dxfId="1718" priority="4473"/>
    <cfRule type="duplicateValues" dxfId="1717" priority="4474"/>
    <cfRule type="duplicateValues" dxfId="1716" priority="4475"/>
    <cfRule type="duplicateValues" dxfId="1715" priority="4476"/>
    <cfRule type="duplicateValues" dxfId="1714" priority="4477"/>
    <cfRule type="duplicateValues" dxfId="1713" priority="4478"/>
    <cfRule type="duplicateValues" dxfId="1712" priority="4479"/>
    <cfRule type="duplicateValues" dxfId="1711" priority="4480"/>
    <cfRule type="duplicateValues" dxfId="1710" priority="4481"/>
    <cfRule type="duplicateValues" dxfId="1709" priority="4482"/>
    <cfRule type="duplicateValues" dxfId="1708" priority="4483"/>
    <cfRule type="duplicateValues" dxfId="1707" priority="4484"/>
  </conditionalFormatting>
  <conditionalFormatting sqref="A17:A1048576 A1:A2">
    <cfRule type="duplicateValues" dxfId="1706" priority="2900"/>
    <cfRule type="duplicateValues" dxfId="1705" priority="2901"/>
    <cfRule type="duplicateValues" dxfId="1704" priority="2902"/>
    <cfRule type="duplicateValues" dxfId="1703" priority="2903"/>
    <cfRule type="duplicateValues" dxfId="1702" priority="2904"/>
    <cfRule type="duplicateValues" dxfId="1701" priority="2905"/>
    <cfRule type="duplicateValues" dxfId="1700" priority="2906"/>
  </conditionalFormatting>
  <conditionalFormatting sqref="A17:A1048576">
    <cfRule type="duplicateValues" dxfId="1699" priority="2921"/>
    <cfRule type="duplicateValues" dxfId="1698" priority="2922"/>
    <cfRule type="duplicateValues" dxfId="1697" priority="2923"/>
  </conditionalFormatting>
  <conditionalFormatting sqref="E1:E2">
    <cfRule type="duplicateValues" dxfId="1696" priority="31"/>
    <cfRule type="duplicateValues" dxfId="1695" priority="34"/>
    <cfRule type="duplicateValues" dxfId="1694" priority="39"/>
    <cfRule type="duplicateValues" dxfId="1693" priority="40"/>
    <cfRule type="duplicateValues" dxfId="1692" priority="41"/>
    <cfRule type="duplicateValues" dxfId="1691" priority="42"/>
    <cfRule type="duplicateValues" dxfId="1690" priority="44"/>
  </conditionalFormatting>
  <conditionalFormatting sqref="E1:E1048576">
    <cfRule type="duplicateValues" dxfId="1689" priority="28"/>
    <cfRule type="duplicateValues" dxfId="1688" priority="29"/>
  </conditionalFormatting>
  <conditionalFormatting sqref="E3:E6">
    <cfRule type="duplicateValues" dxfId="1687" priority="79"/>
    <cfRule type="duplicateValues" dxfId="1686" priority="80"/>
    <cfRule type="duplicateValues" dxfId="1685" priority="81"/>
    <cfRule type="duplicateValues" dxfId="1684" priority="82"/>
    <cfRule type="duplicateValues" dxfId="1683" priority="83"/>
    <cfRule type="duplicateValues" dxfId="1682" priority="84"/>
    <cfRule type="duplicateValues" dxfId="1681" priority="85"/>
    <cfRule type="duplicateValues" dxfId="1680" priority="86"/>
    <cfRule type="duplicateValues" dxfId="1679" priority="87"/>
    <cfRule type="duplicateValues" dxfId="1678" priority="88"/>
    <cfRule type="duplicateValues" dxfId="1677" priority="89"/>
  </conditionalFormatting>
  <conditionalFormatting sqref="E7:E16">
    <cfRule type="duplicateValues" dxfId="1676" priority="4500"/>
    <cfRule type="duplicateValues" dxfId="1675" priority="4501"/>
    <cfRule type="duplicateValues" dxfId="1674" priority="4502"/>
    <cfRule type="duplicateValues" dxfId="1673" priority="4503"/>
    <cfRule type="duplicateValues" dxfId="1672" priority="4504"/>
    <cfRule type="duplicateValues" dxfId="1671" priority="4505"/>
    <cfRule type="duplicateValues" dxfId="1670" priority="4506"/>
    <cfRule type="duplicateValues" dxfId="1669" priority="4507"/>
    <cfRule type="duplicateValues" dxfId="1668" priority="4508"/>
    <cfRule type="duplicateValues" dxfId="1667" priority="4509"/>
    <cfRule type="duplicateValues" dxfId="1666" priority="4510"/>
  </conditionalFormatting>
  <conditionalFormatting sqref="E17:E1048576 E1:E2">
    <cfRule type="duplicateValues" dxfId="1665" priority="2950"/>
    <cfRule type="duplicateValues" dxfId="1664" priority="2951"/>
    <cfRule type="duplicateValues" dxfId="1663" priority="2952"/>
    <cfRule type="duplicateValues" dxfId="1662" priority="2953"/>
    <cfRule type="duplicateValues" dxfId="1661" priority="2954"/>
    <cfRule type="duplicateValues" dxfId="1660" priority="2955"/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A6BA6-94B5-46D6-8C3D-07F0D237ABBC}">
  <sheetPr codeName="Hoja30">
    <tabColor rgb="FF002060"/>
  </sheetPr>
  <dimension ref="A1:Q14"/>
  <sheetViews>
    <sheetView topLeftCell="H1" workbookViewId="0">
      <selection activeCell="N7" sqref="N7"/>
    </sheetView>
  </sheetViews>
  <sheetFormatPr defaultColWidth="11.42578125" defaultRowHeight="14.45"/>
  <cols>
    <col min="1" max="1" width="14.28515625" customWidth="1"/>
    <col min="2" max="2" width="15.7109375" bestFit="1" customWidth="1"/>
    <col min="3" max="3" width="35.28515625" bestFit="1" customWidth="1"/>
    <col min="4" max="4" width="15.28515625" customWidth="1"/>
    <col min="5" max="5" width="10.5703125" bestFit="1" customWidth="1"/>
    <col min="6" max="6" width="5.7109375" bestFit="1" customWidth="1"/>
    <col min="7" max="7" width="8.42578125" bestFit="1" customWidth="1"/>
    <col min="8" max="8" width="11.7109375" customWidth="1"/>
    <col min="9" max="9" width="15.7109375" customWidth="1"/>
    <col min="10" max="11" width="10.42578125" customWidth="1"/>
    <col min="12" max="12" width="8.28515625" customWidth="1"/>
    <col min="13" max="13" width="11.42578125" bestFit="1" customWidth="1"/>
    <col min="14" max="14" width="10" bestFit="1" customWidth="1"/>
    <col min="15" max="16" width="11.42578125" customWidth="1"/>
  </cols>
  <sheetData>
    <row r="1" spans="1:17" ht="15.6">
      <c r="N1" s="95">
        <f>(SUM(M3:M113)-SUM(Q4:Q120))</f>
        <v>0</v>
      </c>
    </row>
    <row r="2" spans="1:17" ht="27.6">
      <c r="A2" s="83" t="s">
        <v>45</v>
      </c>
      <c r="B2" s="83" t="s">
        <v>46</v>
      </c>
      <c r="C2" s="83" t="s">
        <v>47</v>
      </c>
      <c r="D2" s="83" t="s">
        <v>49</v>
      </c>
      <c r="E2" s="83" t="s">
        <v>50</v>
      </c>
      <c r="F2" s="83" t="s">
        <v>51</v>
      </c>
      <c r="G2" s="83" t="s">
        <v>52</v>
      </c>
      <c r="H2" s="84" t="s">
        <v>53</v>
      </c>
      <c r="I2" s="83" t="s">
        <v>54</v>
      </c>
      <c r="J2" s="83" t="s">
        <v>58</v>
      </c>
      <c r="K2" s="54" t="s">
        <v>556</v>
      </c>
      <c r="L2" s="53" t="s">
        <v>675</v>
      </c>
      <c r="M2" s="5" t="s">
        <v>492</v>
      </c>
      <c r="N2" s="53"/>
    </row>
    <row r="3" spans="1:17">
      <c r="A3" s="211" t="s">
        <v>2212</v>
      </c>
      <c r="B3" s="8" t="s">
        <v>2213</v>
      </c>
      <c r="C3" s="8" t="s">
        <v>2214</v>
      </c>
      <c r="D3" s="9" t="s">
        <v>2215</v>
      </c>
      <c r="E3" s="9">
        <v>46134</v>
      </c>
      <c r="F3" s="220">
        <v>46159</v>
      </c>
      <c r="G3" s="7" t="s">
        <v>89</v>
      </c>
      <c r="H3" s="10" t="s">
        <v>85</v>
      </c>
      <c r="I3" s="11" t="s">
        <v>86</v>
      </c>
      <c r="J3" s="279">
        <v>3100</v>
      </c>
      <c r="K3" s="279">
        <v>1850</v>
      </c>
      <c r="L3" s="279">
        <v>0</v>
      </c>
      <c r="M3" s="279">
        <f>SUM(J3:L3)</f>
        <v>4950</v>
      </c>
      <c r="N3" s="279">
        <v>0</v>
      </c>
      <c r="P3" s="55" t="s">
        <v>56</v>
      </c>
      <c r="Q3" s="56" t="s">
        <v>57</v>
      </c>
    </row>
    <row r="4" spans="1:17" ht="24">
      <c r="A4" s="211" t="s">
        <v>2216</v>
      </c>
      <c r="B4" s="8" t="s">
        <v>2213</v>
      </c>
      <c r="C4" s="8" t="s">
        <v>2217</v>
      </c>
      <c r="D4" s="9" t="s">
        <v>2218</v>
      </c>
      <c r="E4" s="9">
        <v>46151</v>
      </c>
      <c r="F4" s="220">
        <v>46176</v>
      </c>
      <c r="G4" s="7" t="s">
        <v>507</v>
      </c>
      <c r="H4" s="10" t="s">
        <v>85</v>
      </c>
      <c r="I4" s="11" t="s">
        <v>105</v>
      </c>
      <c r="J4" s="279">
        <v>3350</v>
      </c>
      <c r="K4" s="279">
        <v>0</v>
      </c>
      <c r="L4" s="279">
        <v>0</v>
      </c>
      <c r="M4" s="279">
        <f>SUM(J4:L4)</f>
        <v>3350</v>
      </c>
      <c r="N4" s="279">
        <v>0</v>
      </c>
      <c r="P4" s="74">
        <v>46210</v>
      </c>
      <c r="Q4" s="135">
        <v>13300</v>
      </c>
    </row>
    <row r="5" spans="1:17" ht="24">
      <c r="A5" s="211" t="s">
        <v>2219</v>
      </c>
      <c r="B5" s="8" t="s">
        <v>2213</v>
      </c>
      <c r="C5" s="8" t="s">
        <v>2217</v>
      </c>
      <c r="D5" s="9" t="s">
        <v>2220</v>
      </c>
      <c r="E5" s="9">
        <v>46172</v>
      </c>
      <c r="F5" s="220">
        <v>46190</v>
      </c>
      <c r="G5" s="7" t="s">
        <v>100</v>
      </c>
      <c r="H5" s="10" t="s">
        <v>85</v>
      </c>
      <c r="I5" s="11" t="s">
        <v>105</v>
      </c>
      <c r="J5" s="279">
        <v>5000</v>
      </c>
      <c r="K5" s="279">
        <v>0</v>
      </c>
      <c r="L5" s="279">
        <v>0</v>
      </c>
      <c r="M5" s="279">
        <f>SUM(J5:L5)</f>
        <v>5000</v>
      </c>
      <c r="N5" s="279">
        <v>0</v>
      </c>
    </row>
    <row r="6" spans="1:17">
      <c r="A6" s="106"/>
      <c r="B6" s="33"/>
      <c r="C6" s="33"/>
      <c r="D6" s="34"/>
      <c r="E6" s="34"/>
      <c r="F6" s="105"/>
      <c r="G6" s="32"/>
      <c r="H6" s="35"/>
      <c r="I6" s="68"/>
      <c r="J6" s="113"/>
      <c r="K6" s="113"/>
      <c r="L6" s="113"/>
      <c r="M6" s="113"/>
      <c r="N6" s="113"/>
    </row>
    <row r="7" spans="1:17">
      <c r="A7" s="106"/>
      <c r="B7" s="33"/>
      <c r="C7" s="33"/>
      <c r="D7" s="34"/>
      <c r="E7" s="34"/>
      <c r="F7" s="105"/>
      <c r="G7" s="32"/>
      <c r="H7" s="35"/>
      <c r="I7" s="68"/>
      <c r="J7" s="113"/>
      <c r="K7" s="113"/>
      <c r="L7" s="113"/>
      <c r="M7" s="113"/>
      <c r="N7" s="113"/>
      <c r="P7" s="25"/>
      <c r="Q7" s="167"/>
    </row>
    <row r="9" spans="1:17">
      <c r="Q9" s="168"/>
    </row>
    <row r="10" spans="1:17">
      <c r="O10" s="25"/>
      <c r="P10" s="45"/>
    </row>
    <row r="12" spans="1:17">
      <c r="P12" s="45"/>
    </row>
    <row r="14" spans="1:17">
      <c r="P14" s="25"/>
    </row>
  </sheetData>
  <conditionalFormatting sqref="A1:A2">
    <cfRule type="duplicateValues" dxfId="1659" priority="847"/>
  </conditionalFormatting>
  <conditionalFormatting sqref="A3:A7">
    <cfRule type="duplicateValues" dxfId="1658" priority="848"/>
  </conditionalFormatting>
  <conditionalFormatting sqref="D1:D2">
    <cfRule type="duplicateValues" dxfId="1657" priority="5"/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80DCA-8168-4A5F-AEBC-AA8F17CCFD3A}">
  <sheetPr codeName="Hoja31">
    <tabColor theme="3" tint="9.9978637043366805E-2"/>
  </sheetPr>
  <dimension ref="A1:P4"/>
  <sheetViews>
    <sheetView workbookViewId="0">
      <selection activeCell="L9" sqref="L9"/>
    </sheetView>
  </sheetViews>
  <sheetFormatPr defaultColWidth="11.42578125" defaultRowHeight="14.45"/>
  <cols>
    <col min="9" max="9" width="12.42578125" bestFit="1" customWidth="1"/>
    <col min="10" max="10" width="14.28515625" customWidth="1"/>
  </cols>
  <sheetData>
    <row r="1" spans="1:16" ht="15.6">
      <c r="M1" s="145">
        <f>SUM(M3:M23)-SUM(P4:P22)</f>
        <v>0</v>
      </c>
    </row>
    <row r="2" spans="1:16" ht="27.6">
      <c r="A2" s="39" t="s">
        <v>45</v>
      </c>
      <c r="B2" s="39" t="s">
        <v>491</v>
      </c>
      <c r="C2" s="39" t="s">
        <v>47</v>
      </c>
      <c r="D2" s="39" t="s">
        <v>48</v>
      </c>
      <c r="E2" s="39" t="s">
        <v>49</v>
      </c>
      <c r="F2" s="60" t="s">
        <v>50</v>
      </c>
      <c r="G2" s="60" t="s">
        <v>51</v>
      </c>
      <c r="H2" s="39" t="s">
        <v>52</v>
      </c>
      <c r="I2" s="40" t="s">
        <v>53</v>
      </c>
      <c r="J2" s="40" t="s">
        <v>54</v>
      </c>
      <c r="K2" s="101" t="s">
        <v>58</v>
      </c>
      <c r="L2" s="101" t="s">
        <v>766</v>
      </c>
      <c r="M2" s="137" t="s">
        <v>55</v>
      </c>
    </row>
    <row r="3" spans="1:16">
      <c r="A3" s="32"/>
      <c r="B3" s="106"/>
      <c r="C3" s="33"/>
      <c r="D3" s="32"/>
      <c r="E3" s="32"/>
      <c r="F3" s="34"/>
      <c r="G3" s="34"/>
      <c r="H3" s="32"/>
      <c r="I3" s="77"/>
      <c r="J3" s="112"/>
      <c r="K3" s="158"/>
      <c r="L3" s="158"/>
      <c r="M3" s="158"/>
      <c r="O3" s="55" t="s">
        <v>56</v>
      </c>
      <c r="P3" s="56" t="s">
        <v>57</v>
      </c>
    </row>
    <row r="4" spans="1:16">
      <c r="A4" s="32"/>
      <c r="B4" s="106"/>
      <c r="C4" s="33"/>
      <c r="D4" s="32"/>
      <c r="E4" s="32"/>
      <c r="F4" s="34"/>
      <c r="G4" s="34"/>
      <c r="H4" s="106"/>
      <c r="I4" s="77"/>
      <c r="J4" s="112"/>
      <c r="K4" s="158"/>
      <c r="L4" s="158"/>
      <c r="M4" s="158"/>
      <c r="O4" s="171"/>
      <c r="P4" s="56"/>
    </row>
  </sheetData>
  <conditionalFormatting sqref="A2">
    <cfRule type="duplicateValues" dxfId="1656" priority="2"/>
    <cfRule type="duplicateValues" dxfId="1655" priority="4"/>
    <cfRule type="duplicateValues" dxfId="1654" priority="5"/>
    <cfRule type="duplicateValues" dxfId="1653" priority="7"/>
    <cfRule type="duplicateValues" dxfId="1652" priority="9"/>
    <cfRule type="duplicateValues" dxfId="1651" priority="10"/>
    <cfRule type="duplicateValues" dxfId="1650" priority="12"/>
    <cfRule type="duplicateValues" dxfId="1649" priority="13"/>
    <cfRule type="duplicateValues" dxfId="1648" priority="15"/>
    <cfRule type="duplicateValues" dxfId="1647" priority="16"/>
    <cfRule type="duplicateValues" dxfId="1646" priority="17"/>
    <cfRule type="duplicateValues" dxfId="1645" priority="18"/>
    <cfRule type="duplicateValues" dxfId="1644" priority="23"/>
  </conditionalFormatting>
  <conditionalFormatting sqref="E2">
    <cfRule type="duplicateValues" dxfId="1643" priority="1"/>
    <cfRule type="duplicateValues" dxfId="1642" priority="3"/>
    <cfRule type="duplicateValues" dxfId="1641" priority="6"/>
    <cfRule type="duplicateValues" dxfId="1640" priority="8"/>
    <cfRule type="duplicateValues" dxfId="1639" priority="11"/>
    <cfRule type="duplicateValues" dxfId="1638" priority="14"/>
    <cfRule type="duplicateValues" dxfId="1637" priority="19"/>
    <cfRule type="duplicateValues" dxfId="1636" priority="20"/>
    <cfRule type="duplicateValues" dxfId="1635" priority="21"/>
    <cfRule type="duplicateValues" dxfId="1634" priority="22"/>
    <cfRule type="duplicateValues" dxfId="1633" priority="24"/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6ABBB-0C15-4ABB-AE41-274A1D36B898}">
  <sheetPr codeName="Hoja23">
    <tabColor theme="9" tint="0.79998168889431442"/>
  </sheetPr>
  <dimension ref="A1:N5"/>
  <sheetViews>
    <sheetView workbookViewId="0">
      <selection activeCell="M4" sqref="M4:N5"/>
    </sheetView>
  </sheetViews>
  <sheetFormatPr defaultColWidth="11.42578125" defaultRowHeight="14.45"/>
  <cols>
    <col min="2" max="3" width="15.42578125" customWidth="1"/>
    <col min="5" max="5" width="12.7109375" bestFit="1" customWidth="1"/>
    <col min="10" max="10" width="15.42578125" customWidth="1"/>
    <col min="11" max="11" width="11.42578125" style="1"/>
  </cols>
  <sheetData>
    <row r="1" spans="1:14" ht="15.6">
      <c r="K1" s="95">
        <f>K3-N4</f>
        <v>0</v>
      </c>
    </row>
    <row r="2" spans="1:14" ht="27.6">
      <c r="A2" s="3" t="s">
        <v>45</v>
      </c>
      <c r="B2" s="3" t="s">
        <v>47</v>
      </c>
      <c r="C2" s="3" t="s">
        <v>46</v>
      </c>
      <c r="D2" s="3" t="s">
        <v>48</v>
      </c>
      <c r="E2" s="3" t="s">
        <v>49</v>
      </c>
      <c r="F2" s="3" t="s">
        <v>50</v>
      </c>
      <c r="G2" s="3" t="s">
        <v>51</v>
      </c>
      <c r="H2" s="3" t="s">
        <v>52</v>
      </c>
      <c r="I2" s="4" t="s">
        <v>53</v>
      </c>
      <c r="J2" s="3" t="s">
        <v>54</v>
      </c>
      <c r="K2" s="5" t="s">
        <v>492</v>
      </c>
      <c r="L2" s="6"/>
    </row>
    <row r="3" spans="1:14" ht="27" customHeight="1">
      <c r="A3" s="32"/>
      <c r="B3" s="106"/>
      <c r="C3" s="106"/>
      <c r="D3" s="32"/>
      <c r="E3" s="32"/>
      <c r="F3" s="34"/>
      <c r="G3" s="34"/>
      <c r="H3" s="106"/>
      <c r="I3" s="77"/>
      <c r="J3" s="112"/>
      <c r="K3" s="113"/>
      <c r="M3" s="55" t="s">
        <v>56</v>
      </c>
      <c r="N3" s="56" t="s">
        <v>57</v>
      </c>
    </row>
    <row r="4" spans="1:14">
      <c r="K4"/>
      <c r="M4" s="464"/>
      <c r="N4" s="466"/>
    </row>
    <row r="5" spans="1:14">
      <c r="K5"/>
      <c r="M5" s="465"/>
      <c r="N5" s="467"/>
    </row>
  </sheetData>
  <mergeCells count="2">
    <mergeCell ref="M4:M5"/>
    <mergeCell ref="N4:N5"/>
  </mergeCells>
  <conditionalFormatting sqref="A6:A1048576 A1:A3">
    <cfRule type="duplicateValues" dxfId="1632" priority="1"/>
  </conditionalFormatting>
  <conditionalFormatting sqref="E1:E2">
    <cfRule type="duplicateValues" dxfId="1631" priority="3"/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D3E20-4691-41CF-86D4-22DC3B85575C}">
  <sheetPr codeName="Hoja32">
    <tabColor rgb="FF00B0F0"/>
  </sheetPr>
  <dimension ref="A1:Q6"/>
  <sheetViews>
    <sheetView workbookViewId="0">
      <selection activeCell="K18" sqref="K18"/>
    </sheetView>
  </sheetViews>
  <sheetFormatPr defaultColWidth="11.42578125" defaultRowHeight="14.45"/>
  <cols>
    <col min="2" max="2" width="14" bestFit="1" customWidth="1"/>
    <col min="3" max="3" width="14.140625" bestFit="1" customWidth="1"/>
    <col min="5" max="5" width="12.7109375" bestFit="1" customWidth="1"/>
  </cols>
  <sheetData>
    <row r="1" spans="1:17" ht="21">
      <c r="A1" s="90"/>
      <c r="B1" s="91"/>
      <c r="C1" s="91"/>
      <c r="D1" s="91"/>
      <c r="E1" s="57"/>
      <c r="F1" s="92"/>
      <c r="G1" s="92"/>
      <c r="H1" s="57"/>
      <c r="I1" s="57"/>
      <c r="J1" s="98"/>
      <c r="K1" s="130"/>
      <c r="L1" s="99"/>
      <c r="M1" s="100"/>
      <c r="N1" s="138"/>
      <c r="O1" s="115">
        <f>SUM(N3:N319)</f>
        <v>0</v>
      </c>
      <c r="P1" s="57"/>
      <c r="Q1" s="59"/>
    </row>
    <row r="2" spans="1:17" ht="27.6">
      <c r="A2" s="39" t="s">
        <v>45</v>
      </c>
      <c r="B2" s="39" t="s">
        <v>491</v>
      </c>
      <c r="C2" s="39" t="s">
        <v>47</v>
      </c>
      <c r="D2" s="39" t="s">
        <v>48</v>
      </c>
      <c r="E2" s="39" t="s">
        <v>49</v>
      </c>
      <c r="F2" s="60" t="s">
        <v>50</v>
      </c>
      <c r="G2" s="60" t="s">
        <v>51</v>
      </c>
      <c r="H2" s="39" t="s">
        <v>52</v>
      </c>
      <c r="I2" s="40" t="s">
        <v>53</v>
      </c>
      <c r="J2" s="40" t="s">
        <v>54</v>
      </c>
      <c r="K2" s="101" t="s">
        <v>58</v>
      </c>
      <c r="L2" s="101" t="s">
        <v>766</v>
      </c>
      <c r="M2" s="137" t="s">
        <v>55</v>
      </c>
      <c r="N2" s="136"/>
      <c r="O2" s="462"/>
      <c r="P2" s="57"/>
      <c r="Q2" s="59"/>
    </row>
    <row r="3" spans="1:17">
      <c r="A3" s="160"/>
      <c r="B3" s="161"/>
      <c r="C3" s="161"/>
      <c r="D3" s="161"/>
      <c r="E3" s="162"/>
      <c r="F3" s="34"/>
      <c r="G3" s="34"/>
      <c r="H3" s="162"/>
      <c r="I3" s="163"/>
      <c r="J3" s="164"/>
      <c r="K3" s="165"/>
      <c r="L3" s="166"/>
      <c r="M3" s="154"/>
      <c r="N3" s="155"/>
      <c r="O3" s="462"/>
      <c r="P3" s="74" t="s">
        <v>56</v>
      </c>
      <c r="Q3" s="135" t="s">
        <v>57</v>
      </c>
    </row>
    <row r="4" spans="1:17">
      <c r="A4" s="160"/>
      <c r="B4" s="161"/>
      <c r="C4" s="161"/>
      <c r="D4" s="161"/>
      <c r="E4" s="162"/>
      <c r="F4" s="34"/>
      <c r="G4" s="34"/>
      <c r="H4" s="162"/>
      <c r="I4" s="163"/>
      <c r="J4" s="164"/>
      <c r="K4" s="165"/>
      <c r="L4" s="166"/>
      <c r="M4" s="154"/>
      <c r="N4" s="155"/>
      <c r="P4" s="74"/>
      <c r="Q4" s="135"/>
    </row>
    <row r="5" spans="1:17">
      <c r="A5" s="160"/>
      <c r="B5" s="161"/>
      <c r="C5" s="161"/>
      <c r="D5" s="161"/>
      <c r="E5" s="162"/>
      <c r="F5" s="34"/>
      <c r="G5" s="34"/>
      <c r="H5" s="162"/>
      <c r="I5" s="163"/>
      <c r="J5" s="164"/>
      <c r="K5" s="165"/>
      <c r="L5" s="166"/>
      <c r="M5" s="154"/>
      <c r="N5" s="155"/>
      <c r="P5" s="74"/>
      <c r="Q5" s="135"/>
    </row>
    <row r="6" spans="1:17" ht="21" customHeight="1">
      <c r="P6" s="74"/>
      <c r="Q6" s="135"/>
    </row>
  </sheetData>
  <mergeCells count="1">
    <mergeCell ref="O2:O3"/>
  </mergeCells>
  <conditionalFormatting sqref="A1:A2">
    <cfRule type="duplicateValues" dxfId="1630" priority="26"/>
    <cfRule type="duplicateValues" dxfId="1629" priority="28"/>
    <cfRule type="duplicateValues" dxfId="1628" priority="29"/>
    <cfRule type="duplicateValues" dxfId="1627" priority="31"/>
    <cfRule type="duplicateValues" dxfId="1626" priority="32"/>
    <cfRule type="duplicateValues" dxfId="1625" priority="33"/>
    <cfRule type="duplicateValues" dxfId="1624" priority="34"/>
    <cfRule type="duplicateValues" dxfId="1623" priority="39"/>
    <cfRule type="duplicateValues" dxfId="1622" priority="41"/>
    <cfRule type="duplicateValues" dxfId="1621" priority="42"/>
    <cfRule type="duplicateValues" dxfId="1620" priority="43"/>
    <cfRule type="duplicateValues" dxfId="1619" priority="44"/>
    <cfRule type="duplicateValues" dxfId="1618" priority="45"/>
    <cfRule type="duplicateValues" dxfId="1617" priority="46"/>
    <cfRule type="duplicateValues" dxfId="1616" priority="47"/>
  </conditionalFormatting>
  <conditionalFormatting sqref="A1:A5 E1:E5">
    <cfRule type="duplicateValues" dxfId="1615" priority="751"/>
  </conditionalFormatting>
  <conditionalFormatting sqref="A1:A5">
    <cfRule type="duplicateValues" dxfId="1614" priority="753"/>
    <cfRule type="duplicateValues" dxfId="1613" priority="769"/>
    <cfRule type="duplicateValues" dxfId="1612" priority="770"/>
  </conditionalFormatting>
  <conditionalFormatting sqref="A3:A5">
    <cfRule type="duplicateValues" dxfId="1611" priority="754"/>
    <cfRule type="duplicateValues" dxfId="1610" priority="755"/>
    <cfRule type="duplicateValues" dxfId="1609" priority="756"/>
    <cfRule type="duplicateValues" dxfId="1608" priority="757"/>
    <cfRule type="duplicateValues" dxfId="1607" priority="758"/>
    <cfRule type="duplicateValues" dxfId="1606" priority="759"/>
    <cfRule type="duplicateValues" dxfId="1605" priority="760"/>
    <cfRule type="duplicateValues" dxfId="1604" priority="761"/>
    <cfRule type="duplicateValues" dxfId="1603" priority="762"/>
    <cfRule type="duplicateValues" dxfId="1602" priority="763"/>
    <cfRule type="duplicateValues" dxfId="1601" priority="764"/>
    <cfRule type="duplicateValues" dxfId="1600" priority="765"/>
    <cfRule type="duplicateValues" dxfId="1599" priority="766"/>
    <cfRule type="duplicateValues" dxfId="1598" priority="767"/>
    <cfRule type="duplicateValues" dxfId="1597" priority="768"/>
  </conditionalFormatting>
  <conditionalFormatting sqref="E1:E2">
    <cfRule type="duplicateValues" dxfId="1596" priority="20"/>
    <cfRule type="duplicateValues" dxfId="1595" priority="21"/>
    <cfRule type="duplicateValues" dxfId="1594" priority="22"/>
    <cfRule type="duplicateValues" dxfId="1593" priority="23"/>
    <cfRule type="duplicateValues" dxfId="1592" priority="24"/>
    <cfRule type="duplicateValues" dxfId="1591" priority="25"/>
    <cfRule type="duplicateValues" dxfId="1590" priority="27"/>
    <cfRule type="duplicateValues" dxfId="1589" priority="30"/>
    <cfRule type="duplicateValues" dxfId="1588" priority="35"/>
    <cfRule type="duplicateValues" dxfId="1587" priority="36"/>
    <cfRule type="duplicateValues" dxfId="1586" priority="37"/>
    <cfRule type="duplicateValues" dxfId="1585" priority="38"/>
    <cfRule type="duplicateValues" dxfId="1584" priority="40"/>
  </conditionalFormatting>
  <conditionalFormatting sqref="E1:E5">
    <cfRule type="duplicateValues" dxfId="1583" priority="771"/>
    <cfRule type="duplicateValues" dxfId="1582" priority="772"/>
  </conditionalFormatting>
  <conditionalFormatting sqref="E3:E5">
    <cfRule type="duplicateValues" dxfId="1581" priority="773"/>
    <cfRule type="duplicateValues" dxfId="1580" priority="774"/>
    <cfRule type="duplicateValues" dxfId="1579" priority="775"/>
    <cfRule type="duplicateValues" dxfId="1578" priority="777"/>
    <cfRule type="duplicateValues" dxfId="1577" priority="778"/>
    <cfRule type="duplicateValues" dxfId="1576" priority="779"/>
    <cfRule type="duplicateValues" dxfId="1575" priority="780"/>
    <cfRule type="duplicateValues" dxfId="1574" priority="781"/>
    <cfRule type="duplicateValues" dxfId="1573" priority="782"/>
    <cfRule type="duplicateValues" dxfId="1572" priority="783"/>
    <cfRule type="duplicateValues" dxfId="1571" priority="784"/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27ACB-2258-4E38-A191-6BADE68C6B9C}">
  <sheetPr codeName="Hoja33"/>
  <dimension ref="A1:Q5"/>
  <sheetViews>
    <sheetView workbookViewId="0">
      <selection activeCell="A3" sqref="A3"/>
    </sheetView>
  </sheetViews>
  <sheetFormatPr defaultColWidth="11.42578125" defaultRowHeight="14.45"/>
  <cols>
    <col min="2" max="2" width="14" bestFit="1" customWidth="1"/>
    <col min="3" max="3" width="28.42578125" bestFit="1" customWidth="1"/>
    <col min="5" max="5" width="12.7109375" bestFit="1" customWidth="1"/>
  </cols>
  <sheetData>
    <row r="1" spans="1:17" ht="21">
      <c r="A1" s="90"/>
      <c r="B1" s="91"/>
      <c r="C1" s="91"/>
      <c r="D1" s="91"/>
      <c r="E1" s="57"/>
      <c r="F1" s="92"/>
      <c r="G1" s="92"/>
      <c r="H1" s="57"/>
      <c r="I1" s="57"/>
      <c r="J1" s="98"/>
      <c r="K1" s="130"/>
      <c r="L1" s="99"/>
      <c r="M1" s="100"/>
      <c r="N1" s="138"/>
      <c r="O1" s="115">
        <f>SUM(N3:N313)</f>
        <v>0</v>
      </c>
      <c r="P1" s="57"/>
      <c r="Q1" s="59"/>
    </row>
    <row r="2" spans="1:17" ht="27.6">
      <c r="A2" s="39" t="s">
        <v>45</v>
      </c>
      <c r="B2" s="39" t="s">
        <v>491</v>
      </c>
      <c r="C2" s="39" t="s">
        <v>47</v>
      </c>
      <c r="D2" s="39" t="s">
        <v>48</v>
      </c>
      <c r="E2" s="39" t="s">
        <v>49</v>
      </c>
      <c r="F2" s="60" t="s">
        <v>50</v>
      </c>
      <c r="G2" s="60" t="s">
        <v>51</v>
      </c>
      <c r="H2" s="39" t="s">
        <v>52</v>
      </c>
      <c r="I2" s="40" t="s">
        <v>53</v>
      </c>
      <c r="J2" s="40" t="s">
        <v>54</v>
      </c>
      <c r="K2" s="101" t="s">
        <v>58</v>
      </c>
      <c r="L2" s="101" t="s">
        <v>766</v>
      </c>
      <c r="M2" s="137" t="s">
        <v>55</v>
      </c>
      <c r="N2" s="136"/>
      <c r="O2" s="462"/>
      <c r="P2" s="57"/>
      <c r="Q2" s="59"/>
    </row>
    <row r="3" spans="1:17">
      <c r="A3" s="160"/>
      <c r="B3" s="161"/>
      <c r="C3" s="161"/>
      <c r="D3" s="161"/>
      <c r="E3" s="162"/>
      <c r="F3" s="34"/>
      <c r="G3" s="34"/>
      <c r="H3" s="162"/>
      <c r="I3" s="163"/>
      <c r="J3" s="164"/>
      <c r="K3" s="165"/>
      <c r="L3" s="166"/>
      <c r="M3" s="154"/>
      <c r="N3" s="155"/>
      <c r="O3" s="462"/>
      <c r="P3" s="132" t="s">
        <v>56</v>
      </c>
      <c r="Q3" s="133" t="s">
        <v>57</v>
      </c>
    </row>
    <row r="4" spans="1:17">
      <c r="P4" s="74"/>
      <c r="Q4" s="135"/>
    </row>
    <row r="5" spans="1:17">
      <c r="P5" s="153"/>
      <c r="Q5" s="135"/>
    </row>
  </sheetData>
  <mergeCells count="1">
    <mergeCell ref="O2:O3"/>
  </mergeCells>
  <conditionalFormatting sqref="A1:A2">
    <cfRule type="duplicateValues" dxfId="1570" priority="7"/>
    <cfRule type="duplicateValues" dxfId="1569" priority="9"/>
    <cfRule type="duplicateValues" dxfId="1568" priority="10"/>
    <cfRule type="duplicateValues" dxfId="1567" priority="12"/>
    <cfRule type="duplicateValues" dxfId="1566" priority="13"/>
    <cfRule type="duplicateValues" dxfId="1565" priority="14"/>
    <cfRule type="duplicateValues" dxfId="1564" priority="15"/>
    <cfRule type="duplicateValues" dxfId="1563" priority="20"/>
    <cfRule type="duplicateValues" dxfId="1562" priority="22"/>
    <cfRule type="duplicateValues" dxfId="1561" priority="23"/>
    <cfRule type="duplicateValues" dxfId="1560" priority="24"/>
    <cfRule type="duplicateValues" dxfId="1559" priority="25"/>
    <cfRule type="duplicateValues" dxfId="1558" priority="26"/>
    <cfRule type="duplicateValues" dxfId="1557" priority="27"/>
    <cfRule type="duplicateValues" dxfId="1556" priority="28"/>
  </conditionalFormatting>
  <conditionalFormatting sqref="A1:A3 E1:E3">
    <cfRule type="duplicateValues" dxfId="1555" priority="848"/>
  </conditionalFormatting>
  <conditionalFormatting sqref="A1:A3">
    <cfRule type="duplicateValues" dxfId="1554" priority="850"/>
    <cfRule type="duplicateValues" dxfId="1553" priority="851"/>
    <cfRule type="duplicateValues" dxfId="1552" priority="852"/>
  </conditionalFormatting>
  <conditionalFormatting sqref="A3">
    <cfRule type="duplicateValues" dxfId="1551" priority="853"/>
    <cfRule type="duplicateValues" dxfId="1550" priority="854"/>
    <cfRule type="duplicateValues" dxfId="1549" priority="855"/>
    <cfRule type="duplicateValues" dxfId="1548" priority="856"/>
    <cfRule type="duplicateValues" dxfId="1547" priority="857"/>
    <cfRule type="duplicateValues" dxfId="1546" priority="858"/>
    <cfRule type="duplicateValues" dxfId="1545" priority="859"/>
    <cfRule type="duplicateValues" dxfId="1544" priority="860"/>
    <cfRule type="duplicateValues" dxfId="1543" priority="861"/>
    <cfRule type="duplicateValues" dxfId="1542" priority="862"/>
    <cfRule type="duplicateValues" dxfId="1541" priority="863"/>
    <cfRule type="duplicateValues" dxfId="1540" priority="864"/>
    <cfRule type="duplicateValues" dxfId="1539" priority="865"/>
    <cfRule type="duplicateValues" dxfId="1538" priority="866"/>
    <cfRule type="duplicateValues" dxfId="1537" priority="867"/>
  </conditionalFormatting>
  <conditionalFormatting sqref="E1:E2">
    <cfRule type="duplicateValues" dxfId="1536" priority="1"/>
    <cfRule type="duplicateValues" dxfId="1535" priority="2"/>
    <cfRule type="duplicateValues" dxfId="1534" priority="3"/>
    <cfRule type="duplicateValues" dxfId="1533" priority="4"/>
    <cfRule type="duplicateValues" dxfId="1532" priority="5"/>
    <cfRule type="duplicateValues" dxfId="1531" priority="6"/>
    <cfRule type="duplicateValues" dxfId="1530" priority="8"/>
    <cfRule type="duplicateValues" dxfId="1529" priority="11"/>
    <cfRule type="duplicateValues" dxfId="1528" priority="16"/>
    <cfRule type="duplicateValues" dxfId="1527" priority="17"/>
    <cfRule type="duplicateValues" dxfId="1526" priority="18"/>
    <cfRule type="duplicateValues" dxfId="1525" priority="19"/>
    <cfRule type="duplicateValues" dxfId="1524" priority="21"/>
  </conditionalFormatting>
  <conditionalFormatting sqref="E1:E3">
    <cfRule type="duplicateValues" dxfId="1523" priority="868"/>
    <cfRule type="duplicateValues" dxfId="1522" priority="869"/>
  </conditionalFormatting>
  <conditionalFormatting sqref="E3">
    <cfRule type="duplicateValues" dxfId="1521" priority="870"/>
    <cfRule type="duplicateValues" dxfId="1520" priority="871"/>
    <cfRule type="duplicateValues" dxfId="1519" priority="872"/>
    <cfRule type="duplicateValues" dxfId="1518" priority="873"/>
    <cfRule type="duplicateValues" dxfId="1517" priority="874"/>
    <cfRule type="duplicateValues" dxfId="1516" priority="875"/>
    <cfRule type="duplicateValues" dxfId="1515" priority="876"/>
    <cfRule type="duplicateValues" dxfId="1514" priority="877"/>
    <cfRule type="duplicateValues" dxfId="1513" priority="878"/>
    <cfRule type="duplicateValues" dxfId="1512" priority="879"/>
    <cfRule type="duplicateValues" dxfId="1511" priority="880"/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4C11E-F2D0-4EEB-9A71-D513436586C2}">
  <sheetPr codeName="Hoja21"/>
  <dimension ref="A1:Q9"/>
  <sheetViews>
    <sheetView topLeftCell="I1" zoomScale="90" zoomScaleNormal="90" workbookViewId="0">
      <selection activeCell="N9" sqref="N9"/>
    </sheetView>
  </sheetViews>
  <sheetFormatPr defaultColWidth="11.42578125" defaultRowHeight="14.45"/>
  <cols>
    <col min="1" max="1" width="18.140625" style="90" customWidth="1"/>
    <col min="2" max="2" width="19.7109375" style="91" bestFit="1" customWidth="1"/>
    <col min="3" max="3" width="15.140625" style="57" bestFit="1" customWidth="1"/>
    <col min="4" max="4" width="13.7109375" style="92" bestFit="1" customWidth="1"/>
    <col min="5" max="5" width="7.140625" style="92" customWidth="1"/>
    <col min="6" max="6" width="7.42578125" style="57" customWidth="1"/>
    <col min="7" max="7" width="12.7109375" style="57" bestFit="1" customWidth="1"/>
    <col min="8" max="8" width="12.7109375" style="58" bestFit="1" customWidth="1"/>
    <col min="9" max="9" width="25" style="131" customWidth="1"/>
    <col min="10" max="10" width="15.7109375" style="52" bestFit="1" customWidth="1"/>
    <col min="11" max="11" width="15.7109375" style="52" customWidth="1"/>
    <col min="12" max="12" width="10.7109375" style="157" customWidth="1"/>
    <col min="13" max="14" width="8.7109375" customWidth="1"/>
    <col min="15" max="15" width="16.7109375" style="57" bestFit="1" customWidth="1"/>
    <col min="16" max="16" width="11.42578125" style="59"/>
  </cols>
  <sheetData>
    <row r="1" spans="1:17" ht="15" customHeight="1">
      <c r="C1" s="91"/>
      <c r="D1" s="57"/>
      <c r="F1" s="92"/>
      <c r="H1" s="57"/>
      <c r="I1" s="98"/>
      <c r="J1" s="130"/>
      <c r="K1" s="130"/>
      <c r="L1" s="156"/>
      <c r="M1" s="100"/>
      <c r="N1" s="138"/>
      <c r="O1" s="115">
        <f>SUM(M3:M116)-SUM(Q4:Q6)</f>
        <v>3312.25</v>
      </c>
      <c r="P1" s="57"/>
      <c r="Q1" s="59"/>
    </row>
    <row r="2" spans="1:17" ht="24.4" customHeight="1">
      <c r="A2" s="39" t="s">
        <v>45</v>
      </c>
      <c r="B2" s="39" t="s">
        <v>491</v>
      </c>
      <c r="C2" s="39" t="s">
        <v>47</v>
      </c>
      <c r="D2" s="39" t="s">
        <v>49</v>
      </c>
      <c r="E2" s="60" t="s">
        <v>50</v>
      </c>
      <c r="F2" s="60" t="s">
        <v>51</v>
      </c>
      <c r="G2" s="39" t="s">
        <v>52</v>
      </c>
      <c r="H2" s="40" t="s">
        <v>53</v>
      </c>
      <c r="I2" s="40" t="s">
        <v>54</v>
      </c>
      <c r="J2" s="101" t="s">
        <v>58</v>
      </c>
      <c r="K2" s="101" t="s">
        <v>556</v>
      </c>
      <c r="L2" s="101" t="s">
        <v>766</v>
      </c>
      <c r="M2" s="137" t="s">
        <v>55</v>
      </c>
      <c r="N2" s="204"/>
      <c r="O2" s="462"/>
      <c r="P2" s="57"/>
      <c r="Q2" s="59"/>
    </row>
    <row r="3" spans="1:17" ht="25.15" customHeight="1">
      <c r="A3" s="210" t="s">
        <v>2221</v>
      </c>
      <c r="B3" s="211" t="s">
        <v>1686</v>
      </c>
      <c r="C3" s="8" t="s">
        <v>2222</v>
      </c>
      <c r="D3" s="7" t="s">
        <v>2223</v>
      </c>
      <c r="E3" s="9">
        <v>46062</v>
      </c>
      <c r="F3" s="9">
        <v>46093</v>
      </c>
      <c r="G3" s="7" t="s">
        <v>89</v>
      </c>
      <c r="H3" s="7" t="s">
        <v>66</v>
      </c>
      <c r="I3" s="227" t="s">
        <v>105</v>
      </c>
      <c r="J3" s="12">
        <v>2200</v>
      </c>
      <c r="K3" s="12">
        <v>0</v>
      </c>
      <c r="L3" s="258">
        <v>0</v>
      </c>
      <c r="M3" s="247">
        <f>SUM(J3:L3)</f>
        <v>2200</v>
      </c>
      <c r="N3" s="247">
        <v>0</v>
      </c>
      <c r="O3" s="462"/>
      <c r="P3" s="132" t="s">
        <v>56</v>
      </c>
      <c r="Q3" s="133" t="s">
        <v>57</v>
      </c>
    </row>
    <row r="4" spans="1:17" ht="27.6">
      <c r="A4" s="210" t="s">
        <v>2224</v>
      </c>
      <c r="B4" s="211" t="s">
        <v>1686</v>
      </c>
      <c r="C4" s="8" t="s">
        <v>2225</v>
      </c>
      <c r="D4" s="7" t="s">
        <v>2226</v>
      </c>
      <c r="E4" s="9">
        <v>46133</v>
      </c>
      <c r="F4" s="9">
        <v>46159</v>
      </c>
      <c r="G4" s="7" t="s">
        <v>100</v>
      </c>
      <c r="H4" s="7" t="s">
        <v>66</v>
      </c>
      <c r="I4" s="227" t="s">
        <v>603</v>
      </c>
      <c r="J4" s="12">
        <v>2900</v>
      </c>
      <c r="K4" s="12">
        <v>1700</v>
      </c>
      <c r="L4" s="258">
        <v>100</v>
      </c>
      <c r="M4" s="247">
        <f t="shared" ref="M4" si="0">SUM(J4:L4)</f>
        <v>4700</v>
      </c>
      <c r="N4" s="247">
        <v>0</v>
      </c>
      <c r="O4" s="59"/>
      <c r="P4" s="150">
        <v>46185</v>
      </c>
      <c r="Q4" s="76">
        <v>11800</v>
      </c>
    </row>
    <row r="5" spans="1:17" ht="27.6">
      <c r="A5" s="210" t="s">
        <v>2227</v>
      </c>
      <c r="B5" s="211" t="s">
        <v>1686</v>
      </c>
      <c r="C5" s="8" t="s">
        <v>2222</v>
      </c>
      <c r="D5" s="7" t="s">
        <v>2228</v>
      </c>
      <c r="E5" s="9">
        <v>46142</v>
      </c>
      <c r="F5" s="9">
        <v>46170</v>
      </c>
      <c r="G5" s="7" t="s">
        <v>100</v>
      </c>
      <c r="H5" s="7" t="s">
        <v>2229</v>
      </c>
      <c r="I5" s="227" t="s">
        <v>603</v>
      </c>
      <c r="J5" s="12">
        <v>3200</v>
      </c>
      <c r="K5" s="12">
        <v>1700</v>
      </c>
      <c r="L5" s="258">
        <v>0</v>
      </c>
      <c r="M5" s="247">
        <f>SUM(J5:L5)</f>
        <v>4900</v>
      </c>
      <c r="N5" s="247">
        <v>0</v>
      </c>
      <c r="P5" s="150">
        <v>46212</v>
      </c>
      <c r="Q5" s="76">
        <v>16767.75</v>
      </c>
    </row>
    <row r="6" spans="1:17" ht="27.4" customHeight="1">
      <c r="A6" s="210" t="s">
        <v>2230</v>
      </c>
      <c r="B6" s="211" t="s">
        <v>1686</v>
      </c>
      <c r="C6" s="8" t="s">
        <v>28</v>
      </c>
      <c r="D6" s="7" t="s">
        <v>2231</v>
      </c>
      <c r="E6" s="9">
        <v>46156</v>
      </c>
      <c r="F6" s="9">
        <v>46176</v>
      </c>
      <c r="G6" s="7" t="s">
        <v>507</v>
      </c>
      <c r="H6" s="7" t="s">
        <v>66</v>
      </c>
      <c r="I6" s="227" t="s">
        <v>105</v>
      </c>
      <c r="J6" s="12">
        <v>3650</v>
      </c>
      <c r="K6" s="12">
        <v>0</v>
      </c>
      <c r="L6" s="258">
        <v>100</v>
      </c>
      <c r="M6" s="247">
        <f t="shared" ref="M6:M7" si="1">SUM(J6:L6)</f>
        <v>3750</v>
      </c>
      <c r="N6" s="247">
        <v>0</v>
      </c>
    </row>
    <row r="7" spans="1:17" ht="27.4" customHeight="1">
      <c r="A7" s="210" t="s">
        <v>2232</v>
      </c>
      <c r="B7" s="211" t="s">
        <v>1686</v>
      </c>
      <c r="C7" s="8" t="s">
        <v>28</v>
      </c>
      <c r="D7" s="7" t="s">
        <v>2233</v>
      </c>
      <c r="E7" s="9">
        <v>46156</v>
      </c>
      <c r="F7" s="9">
        <v>46176</v>
      </c>
      <c r="G7" s="7" t="s">
        <v>507</v>
      </c>
      <c r="H7" s="7" t="s">
        <v>66</v>
      </c>
      <c r="I7" s="227" t="s">
        <v>105</v>
      </c>
      <c r="J7" s="12">
        <v>3650</v>
      </c>
      <c r="K7" s="12">
        <v>0</v>
      </c>
      <c r="L7" s="258">
        <v>100</v>
      </c>
      <c r="M7" s="247">
        <f t="shared" si="1"/>
        <v>3750</v>
      </c>
      <c r="N7" s="247">
        <v>0</v>
      </c>
    </row>
    <row r="8" spans="1:17" ht="44.25" customHeight="1">
      <c r="A8" s="210" t="s">
        <v>2234</v>
      </c>
      <c r="B8" s="211" t="s">
        <v>1686</v>
      </c>
      <c r="C8" s="308" t="s">
        <v>2235</v>
      </c>
      <c r="D8" s="7" t="s">
        <v>2236</v>
      </c>
      <c r="E8" s="9">
        <v>46174</v>
      </c>
      <c r="F8" s="9">
        <v>46201</v>
      </c>
      <c r="G8" s="7" t="s">
        <v>89</v>
      </c>
      <c r="H8" s="7" t="s">
        <v>66</v>
      </c>
      <c r="I8" s="227" t="s">
        <v>105</v>
      </c>
      <c r="J8" s="12">
        <v>5500</v>
      </c>
      <c r="K8" s="12">
        <v>0</v>
      </c>
      <c r="L8" s="258">
        <v>280</v>
      </c>
      <c r="M8" s="247">
        <f t="shared" ref="M8" si="2">SUM(J8:L8)</f>
        <v>5780</v>
      </c>
      <c r="N8" s="247">
        <v>0</v>
      </c>
    </row>
    <row r="9" spans="1:17" ht="40.5" customHeight="1">
      <c r="A9" s="114" t="s">
        <v>2237</v>
      </c>
      <c r="B9" s="106" t="s">
        <v>1686</v>
      </c>
      <c r="C9" s="260" t="s">
        <v>2222</v>
      </c>
      <c r="D9" s="32" t="s">
        <v>2238</v>
      </c>
      <c r="E9" s="34">
        <v>46168</v>
      </c>
      <c r="F9" s="34">
        <v>46203</v>
      </c>
      <c r="G9" s="32" t="s">
        <v>100</v>
      </c>
      <c r="H9" s="32" t="s">
        <v>66</v>
      </c>
      <c r="I9" s="112" t="s">
        <v>603</v>
      </c>
      <c r="J9" s="81">
        <v>5000</v>
      </c>
      <c r="K9" s="81">
        <v>1700</v>
      </c>
      <c r="L9" s="143">
        <v>100</v>
      </c>
      <c r="M9" s="198">
        <f t="shared" ref="M9" si="3">SUM(J9:L9)</f>
        <v>6800</v>
      </c>
      <c r="N9" s="198">
        <v>3312.25</v>
      </c>
    </row>
  </sheetData>
  <mergeCells count="1">
    <mergeCell ref="O2:O3"/>
  </mergeCells>
  <conditionalFormatting sqref="A1:A2">
    <cfRule type="duplicateValues" dxfId="1510" priority="31"/>
    <cfRule type="duplicateValues" dxfId="1509" priority="33"/>
    <cfRule type="duplicateValues" dxfId="1508" priority="34"/>
    <cfRule type="duplicateValues" dxfId="1507" priority="36"/>
    <cfRule type="duplicateValues" dxfId="1506" priority="37"/>
    <cfRule type="duplicateValues" dxfId="1505" priority="38"/>
    <cfRule type="duplicateValues" dxfId="1504" priority="39"/>
    <cfRule type="duplicateValues" dxfId="1503" priority="44"/>
  </conditionalFormatting>
  <conditionalFormatting sqref="A1:A1048576">
    <cfRule type="duplicateValues" dxfId="1502" priority="27"/>
    <cfRule type="duplicateValues" dxfId="1501" priority="28"/>
    <cfRule type="duplicateValues" dxfId="1500" priority="54"/>
    <cfRule type="duplicateValues" dxfId="1499" priority="55"/>
  </conditionalFormatting>
  <conditionalFormatting sqref="A3">
    <cfRule type="duplicateValues" dxfId="1498" priority="65"/>
    <cfRule type="duplicateValues" dxfId="1497" priority="66"/>
    <cfRule type="duplicateValues" dxfId="1496" priority="67"/>
    <cfRule type="duplicateValues" dxfId="1495" priority="68"/>
    <cfRule type="duplicateValues" dxfId="1494" priority="69"/>
    <cfRule type="duplicateValues" dxfId="1493" priority="70"/>
    <cfRule type="duplicateValues" dxfId="1492" priority="71"/>
    <cfRule type="duplicateValues" dxfId="1491" priority="72"/>
    <cfRule type="duplicateValues" dxfId="1490" priority="73"/>
    <cfRule type="duplicateValues" dxfId="1489" priority="74"/>
    <cfRule type="duplicateValues" dxfId="1488" priority="75"/>
    <cfRule type="duplicateValues" dxfId="1487" priority="76"/>
    <cfRule type="duplicateValues" dxfId="1486" priority="77"/>
    <cfRule type="duplicateValues" dxfId="1485" priority="78"/>
    <cfRule type="duplicateValues" dxfId="1484" priority="79"/>
  </conditionalFormatting>
  <conditionalFormatting sqref="A4:A9">
    <cfRule type="duplicateValues" dxfId="1483" priority="1"/>
    <cfRule type="duplicateValues" dxfId="1482" priority="2"/>
    <cfRule type="duplicateValues" dxfId="1481" priority="3"/>
    <cfRule type="duplicateValues" dxfId="1480" priority="4"/>
    <cfRule type="duplicateValues" dxfId="1479" priority="5"/>
    <cfRule type="duplicateValues" dxfId="1478" priority="6"/>
    <cfRule type="duplicateValues" dxfId="1477" priority="7"/>
    <cfRule type="duplicateValues" dxfId="1476" priority="8"/>
    <cfRule type="duplicateValues" dxfId="1475" priority="9"/>
    <cfRule type="duplicateValues" dxfId="1474" priority="10"/>
    <cfRule type="duplicateValues" dxfId="1473" priority="11"/>
    <cfRule type="duplicateValues" dxfId="1472" priority="12"/>
    <cfRule type="duplicateValues" dxfId="1471" priority="13"/>
    <cfRule type="duplicateValues" dxfId="1470" priority="14"/>
    <cfRule type="duplicateValues" dxfId="1469" priority="15"/>
  </conditionalFormatting>
  <conditionalFormatting sqref="A10:A1048576 A1:A2">
    <cfRule type="duplicateValues" dxfId="1468" priority="47"/>
    <cfRule type="duplicateValues" dxfId="1467" priority="48"/>
    <cfRule type="duplicateValues" dxfId="1466" priority="49"/>
    <cfRule type="duplicateValues" dxfId="1465" priority="50"/>
    <cfRule type="duplicateValues" dxfId="1464" priority="51"/>
    <cfRule type="duplicateValues" dxfId="1463" priority="52"/>
    <cfRule type="duplicateValues" dxfId="1462" priority="53"/>
  </conditionalFormatting>
  <conditionalFormatting sqref="A10:A1048576">
    <cfRule type="duplicateValues" dxfId="1461" priority="56"/>
    <cfRule type="duplicateValues" dxfId="1460" priority="57"/>
    <cfRule type="duplicateValues" dxfId="1459" priority="58"/>
  </conditionalFormatting>
  <conditionalFormatting sqref="D1:D2">
    <cfRule type="duplicateValues" dxfId="1458" priority="32"/>
    <cfRule type="duplicateValues" dxfId="1457" priority="35"/>
    <cfRule type="duplicateValues" dxfId="1456" priority="40"/>
    <cfRule type="duplicateValues" dxfId="1455" priority="41"/>
    <cfRule type="duplicateValues" dxfId="1454" priority="42"/>
    <cfRule type="duplicateValues" dxfId="1453" priority="43"/>
    <cfRule type="duplicateValues" dxfId="1452" priority="45"/>
  </conditionalFormatting>
  <conditionalFormatting sqref="D1:D1048576 A1:A1048576">
    <cfRule type="duplicateValues" dxfId="1451" priority="46"/>
  </conditionalFormatting>
  <conditionalFormatting sqref="D1:D1048576">
    <cfRule type="duplicateValues" dxfId="1450" priority="29"/>
    <cfRule type="duplicateValues" dxfId="1449" priority="30"/>
  </conditionalFormatting>
  <conditionalFormatting sqref="D3">
    <cfRule type="duplicateValues" dxfId="1448" priority="80"/>
    <cfRule type="duplicateValues" dxfId="1447" priority="81"/>
    <cfRule type="duplicateValues" dxfId="1446" priority="82"/>
    <cfRule type="duplicateValues" dxfId="1445" priority="83"/>
    <cfRule type="duplicateValues" dxfId="1444" priority="84"/>
    <cfRule type="duplicateValues" dxfId="1443" priority="85"/>
    <cfRule type="duplicateValues" dxfId="1442" priority="86"/>
    <cfRule type="duplicateValues" dxfId="1441" priority="87"/>
    <cfRule type="duplicateValues" dxfId="1440" priority="88"/>
    <cfRule type="duplicateValues" dxfId="1439" priority="89"/>
    <cfRule type="duplicateValues" dxfId="1438" priority="90"/>
  </conditionalFormatting>
  <conditionalFormatting sqref="D4:D9">
    <cfRule type="duplicateValues" dxfId="1437" priority="16"/>
    <cfRule type="duplicateValues" dxfId="1436" priority="17"/>
    <cfRule type="duplicateValues" dxfId="1435" priority="18"/>
    <cfRule type="duplicateValues" dxfId="1434" priority="19"/>
    <cfRule type="duplicateValues" dxfId="1433" priority="20"/>
    <cfRule type="duplicateValues" dxfId="1432" priority="21"/>
    <cfRule type="duplicateValues" dxfId="1431" priority="22"/>
    <cfRule type="duplicateValues" dxfId="1430" priority="23"/>
    <cfRule type="duplicateValues" dxfId="1429" priority="24"/>
    <cfRule type="duplicateValues" dxfId="1428" priority="25"/>
    <cfRule type="duplicateValues" dxfId="1427" priority="26"/>
  </conditionalFormatting>
  <conditionalFormatting sqref="D10:D1048576 D1:D2">
    <cfRule type="duplicateValues" dxfId="1426" priority="59"/>
    <cfRule type="duplicateValues" dxfId="1425" priority="60"/>
    <cfRule type="duplicateValues" dxfId="1424" priority="61"/>
    <cfRule type="duplicateValues" dxfId="1423" priority="62"/>
    <cfRule type="duplicateValues" dxfId="1422" priority="63"/>
    <cfRule type="duplicateValues" dxfId="1421" priority="64"/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F311E-D6A3-4909-ACC6-7892F8436FFF}">
  <sheetPr codeName="Hoja34"/>
  <dimension ref="A1:Q25"/>
  <sheetViews>
    <sheetView topLeftCell="I12" workbookViewId="0">
      <selection activeCell="I22" sqref="I22"/>
    </sheetView>
  </sheetViews>
  <sheetFormatPr defaultColWidth="11.42578125" defaultRowHeight="14.45"/>
  <cols>
    <col min="1" max="1" width="18.140625" style="90" customWidth="1"/>
    <col min="2" max="2" width="19.7109375" style="91" bestFit="1" customWidth="1"/>
    <col min="3" max="3" width="24.42578125" style="57" bestFit="1" customWidth="1"/>
    <col min="4" max="4" width="13.7109375" style="92" bestFit="1" customWidth="1"/>
    <col min="5" max="5" width="7.140625" style="92" customWidth="1"/>
    <col min="6" max="6" width="7.42578125" style="57" customWidth="1"/>
    <col min="7" max="7" width="12.7109375" style="57" bestFit="1" customWidth="1"/>
    <col min="8" max="8" width="12.7109375" style="58" bestFit="1" customWidth="1"/>
    <col min="9" max="9" width="18.7109375" style="131" customWidth="1"/>
    <col min="10" max="10" width="15.7109375" style="52" bestFit="1" customWidth="1"/>
    <col min="11" max="11" width="15.7109375" style="52" customWidth="1"/>
    <col min="12" max="12" width="10.7109375" style="157" customWidth="1"/>
    <col min="13" max="13" width="13.5703125" customWidth="1"/>
    <col min="14" max="14" width="8.7109375" customWidth="1"/>
    <col min="15" max="15" width="16.7109375" style="57" bestFit="1" customWidth="1"/>
    <col min="16" max="16" width="11.42578125" style="59"/>
  </cols>
  <sheetData>
    <row r="1" spans="1:17" ht="21">
      <c r="C1" s="91"/>
      <c r="D1" s="57"/>
      <c r="F1" s="92"/>
      <c r="H1" s="57"/>
      <c r="I1" s="98"/>
      <c r="J1" s="130"/>
      <c r="K1" s="130"/>
      <c r="L1" s="156"/>
      <c r="M1" s="100"/>
      <c r="N1" s="138"/>
      <c r="O1" s="115">
        <f>SUM(N3:N120)</f>
        <v>0</v>
      </c>
      <c r="P1" s="57"/>
      <c r="Q1" s="59"/>
    </row>
    <row r="2" spans="1:17" ht="27.6">
      <c r="A2" s="39" t="s">
        <v>45</v>
      </c>
      <c r="B2" s="39" t="s">
        <v>491</v>
      </c>
      <c r="C2" s="39" t="s">
        <v>47</v>
      </c>
      <c r="D2" s="39" t="s">
        <v>49</v>
      </c>
      <c r="E2" s="60" t="s">
        <v>50</v>
      </c>
      <c r="F2" s="60" t="s">
        <v>51</v>
      </c>
      <c r="G2" s="39" t="s">
        <v>52</v>
      </c>
      <c r="H2" s="40" t="s">
        <v>53</v>
      </c>
      <c r="I2" s="40" t="s">
        <v>54</v>
      </c>
      <c r="J2" s="101" t="s">
        <v>58</v>
      </c>
      <c r="K2" s="54" t="s">
        <v>556</v>
      </c>
      <c r="L2" s="101" t="s">
        <v>766</v>
      </c>
      <c r="M2" s="137" t="s">
        <v>55</v>
      </c>
      <c r="N2" s="204"/>
      <c r="O2"/>
      <c r="P2" s="132" t="s">
        <v>56</v>
      </c>
      <c r="Q2" s="133" t="s">
        <v>57</v>
      </c>
    </row>
    <row r="3" spans="1:17" ht="27.6">
      <c r="A3" s="210" t="s">
        <v>2239</v>
      </c>
      <c r="B3" s="211" t="s">
        <v>1717</v>
      </c>
      <c r="C3" s="8" t="s">
        <v>2240</v>
      </c>
      <c r="D3" s="226" t="s">
        <v>2241</v>
      </c>
      <c r="E3" s="9">
        <v>46033</v>
      </c>
      <c r="F3" s="9">
        <v>46056</v>
      </c>
      <c r="G3" s="226" t="s">
        <v>482</v>
      </c>
      <c r="H3" s="226" t="s">
        <v>66</v>
      </c>
      <c r="I3" s="227" t="s">
        <v>105</v>
      </c>
      <c r="J3" s="12">
        <v>1500</v>
      </c>
      <c r="K3" s="222"/>
      <c r="L3" s="245">
        <v>100</v>
      </c>
      <c r="M3" s="246">
        <f>J3+L3</f>
        <v>1600</v>
      </c>
      <c r="N3" s="247">
        <v>0</v>
      </c>
      <c r="O3"/>
      <c r="P3" s="150">
        <v>46069</v>
      </c>
      <c r="Q3" s="151">
        <v>1650</v>
      </c>
    </row>
    <row r="4" spans="1:17" ht="27.6">
      <c r="A4" s="210" t="s">
        <v>2242</v>
      </c>
      <c r="B4" s="211" t="s">
        <v>1717</v>
      </c>
      <c r="C4" s="8" t="s">
        <v>2240</v>
      </c>
      <c r="D4" s="226" t="s">
        <v>2243</v>
      </c>
      <c r="E4" s="9">
        <v>46035</v>
      </c>
      <c r="F4" s="9">
        <v>46056</v>
      </c>
      <c r="G4" s="226" t="s">
        <v>482</v>
      </c>
      <c r="H4" s="226" t="s">
        <v>85</v>
      </c>
      <c r="I4" s="227" t="s">
        <v>105</v>
      </c>
      <c r="J4" s="12">
        <v>1500</v>
      </c>
      <c r="K4" s="222"/>
      <c r="L4" s="245">
        <v>100</v>
      </c>
      <c r="M4" s="246">
        <f>J4+L4</f>
        <v>1600</v>
      </c>
      <c r="N4" s="247">
        <v>0</v>
      </c>
      <c r="O4"/>
      <c r="P4" s="150">
        <v>46070</v>
      </c>
      <c r="Q4" s="151">
        <v>1700</v>
      </c>
    </row>
    <row r="5" spans="1:17" ht="27.6">
      <c r="A5" s="210" t="s">
        <v>2244</v>
      </c>
      <c r="B5" s="211" t="s">
        <v>1717</v>
      </c>
      <c r="C5" s="8" t="s">
        <v>2240</v>
      </c>
      <c r="D5" s="226" t="s">
        <v>2245</v>
      </c>
      <c r="E5" s="9">
        <v>46046</v>
      </c>
      <c r="F5" s="9">
        <v>46071</v>
      </c>
      <c r="G5" s="226" t="s">
        <v>507</v>
      </c>
      <c r="H5" s="226" t="s">
        <v>85</v>
      </c>
      <c r="I5" s="227" t="s">
        <v>105</v>
      </c>
      <c r="J5" s="12">
        <v>1550</v>
      </c>
      <c r="K5" s="222"/>
      <c r="L5" s="245">
        <v>100</v>
      </c>
      <c r="M5" s="246">
        <f>SUM(J5:L5)</f>
        <v>1650</v>
      </c>
      <c r="N5" s="247">
        <v>0</v>
      </c>
      <c r="O5"/>
      <c r="P5" s="150">
        <v>46070</v>
      </c>
      <c r="Q5" s="151">
        <v>1700</v>
      </c>
    </row>
    <row r="6" spans="1:17" ht="27.6">
      <c r="A6" s="210" t="s">
        <v>2246</v>
      </c>
      <c r="B6" s="211" t="s">
        <v>1717</v>
      </c>
      <c r="C6" s="8" t="s">
        <v>2240</v>
      </c>
      <c r="D6" s="226" t="s">
        <v>2247</v>
      </c>
      <c r="E6" s="9">
        <v>46054</v>
      </c>
      <c r="F6" s="9">
        <v>46078</v>
      </c>
      <c r="G6" s="226" t="s">
        <v>149</v>
      </c>
      <c r="H6" s="226" t="s">
        <v>66</v>
      </c>
      <c r="I6" s="227" t="s">
        <v>105</v>
      </c>
      <c r="J6" s="12">
        <v>1400</v>
      </c>
      <c r="K6" s="222"/>
      <c r="L6" s="245">
        <v>100</v>
      </c>
      <c r="M6" s="246">
        <f t="shared" ref="M6:M12" si="0">J6+L6</f>
        <v>1500</v>
      </c>
      <c r="N6" s="247">
        <v>0</v>
      </c>
      <c r="O6"/>
      <c r="P6" s="150">
        <v>46116</v>
      </c>
      <c r="Q6" s="151">
        <v>1500</v>
      </c>
    </row>
    <row r="7" spans="1:17" ht="27.6">
      <c r="A7" s="210" t="s">
        <v>2248</v>
      </c>
      <c r="B7" s="211" t="s">
        <v>1717</v>
      </c>
      <c r="C7" s="8" t="s">
        <v>2240</v>
      </c>
      <c r="D7" s="244" t="s">
        <v>2249</v>
      </c>
      <c r="E7" s="9">
        <v>46054</v>
      </c>
      <c r="F7" s="9">
        <v>46078</v>
      </c>
      <c r="G7" s="226" t="s">
        <v>149</v>
      </c>
      <c r="H7" s="226" t="s">
        <v>66</v>
      </c>
      <c r="I7" s="227" t="s">
        <v>105</v>
      </c>
      <c r="J7" s="12">
        <v>1400</v>
      </c>
      <c r="K7" s="222"/>
      <c r="L7" s="245">
        <v>100</v>
      </c>
      <c r="M7" s="246">
        <f t="shared" si="0"/>
        <v>1500</v>
      </c>
      <c r="N7" s="247">
        <v>0</v>
      </c>
      <c r="O7"/>
      <c r="P7" s="150">
        <v>46116</v>
      </c>
      <c r="Q7" s="151">
        <v>1500</v>
      </c>
    </row>
    <row r="8" spans="1:17" ht="27.6">
      <c r="A8" s="210" t="s">
        <v>2250</v>
      </c>
      <c r="B8" s="211" t="s">
        <v>1717</v>
      </c>
      <c r="C8" s="8" t="s">
        <v>2240</v>
      </c>
      <c r="D8" s="226" t="s">
        <v>2251</v>
      </c>
      <c r="E8" s="9">
        <v>46054</v>
      </c>
      <c r="F8" s="9">
        <v>46078</v>
      </c>
      <c r="G8" s="226" t="s">
        <v>507</v>
      </c>
      <c r="H8" s="226" t="s">
        <v>240</v>
      </c>
      <c r="I8" s="227" t="s">
        <v>105</v>
      </c>
      <c r="J8" s="12">
        <v>1350</v>
      </c>
      <c r="K8" s="222"/>
      <c r="L8" s="245">
        <v>100</v>
      </c>
      <c r="M8" s="246">
        <f t="shared" si="0"/>
        <v>1450</v>
      </c>
      <c r="N8" s="247">
        <v>0</v>
      </c>
      <c r="O8"/>
      <c r="P8" s="150">
        <v>46116</v>
      </c>
      <c r="Q8" s="151">
        <v>1500</v>
      </c>
    </row>
    <row r="9" spans="1:17" ht="27.6">
      <c r="A9" s="210" t="s">
        <v>2252</v>
      </c>
      <c r="B9" s="211" t="s">
        <v>1717</v>
      </c>
      <c r="C9" s="8" t="s">
        <v>2240</v>
      </c>
      <c r="D9" s="226" t="s">
        <v>2253</v>
      </c>
      <c r="E9" s="9">
        <v>46054</v>
      </c>
      <c r="F9" s="9">
        <v>46078</v>
      </c>
      <c r="G9" s="226" t="s">
        <v>149</v>
      </c>
      <c r="H9" s="226" t="s">
        <v>66</v>
      </c>
      <c r="I9" s="227" t="s">
        <v>105</v>
      </c>
      <c r="J9" s="12">
        <v>1400</v>
      </c>
      <c r="K9" s="222"/>
      <c r="L9" s="245">
        <v>100</v>
      </c>
      <c r="M9" s="246">
        <f t="shared" si="0"/>
        <v>1500</v>
      </c>
      <c r="N9" s="247">
        <v>0</v>
      </c>
      <c r="O9"/>
      <c r="P9" s="150">
        <v>46116</v>
      </c>
      <c r="Q9" s="151">
        <v>1450</v>
      </c>
    </row>
    <row r="10" spans="1:17" ht="27.6">
      <c r="A10" s="248" t="s">
        <v>2254</v>
      </c>
      <c r="B10" s="249" t="s">
        <v>1717</v>
      </c>
      <c r="C10" s="250" t="s">
        <v>2240</v>
      </c>
      <c r="D10" s="251" t="s">
        <v>2255</v>
      </c>
      <c r="E10" s="252">
        <v>46054</v>
      </c>
      <c r="F10" s="252">
        <v>46084</v>
      </c>
      <c r="G10" s="251" t="s">
        <v>149</v>
      </c>
      <c r="H10" s="251" t="s">
        <v>66</v>
      </c>
      <c r="I10" s="253" t="s">
        <v>105</v>
      </c>
      <c r="J10" s="254">
        <v>1400</v>
      </c>
      <c r="K10" s="255"/>
      <c r="L10" s="256">
        <v>100</v>
      </c>
      <c r="M10" s="257">
        <f t="shared" si="0"/>
        <v>1500</v>
      </c>
      <c r="N10" s="247">
        <v>0</v>
      </c>
      <c r="O10"/>
      <c r="P10" s="150">
        <v>46116</v>
      </c>
      <c r="Q10" s="151">
        <v>1500</v>
      </c>
    </row>
    <row r="11" spans="1:17" ht="27.6">
      <c r="A11" s="210" t="s">
        <v>2256</v>
      </c>
      <c r="B11" s="211" t="s">
        <v>1717</v>
      </c>
      <c r="C11" s="8" t="s">
        <v>2240</v>
      </c>
      <c r="D11" s="7" t="s">
        <v>2257</v>
      </c>
      <c r="E11" s="9">
        <v>46054</v>
      </c>
      <c r="F11" s="9">
        <v>46084</v>
      </c>
      <c r="G11" s="7" t="s">
        <v>149</v>
      </c>
      <c r="H11" s="7" t="s">
        <v>66</v>
      </c>
      <c r="I11" s="227" t="s">
        <v>105</v>
      </c>
      <c r="J11" s="12">
        <v>1400</v>
      </c>
      <c r="K11" s="12"/>
      <c r="L11" s="258">
        <v>100</v>
      </c>
      <c r="M11" s="247">
        <f t="shared" si="0"/>
        <v>1500</v>
      </c>
      <c r="N11" s="247">
        <v>0</v>
      </c>
      <c r="O11"/>
      <c r="P11" s="150">
        <v>46116</v>
      </c>
      <c r="Q11" s="151">
        <v>1500</v>
      </c>
    </row>
    <row r="12" spans="1:17" ht="27.6">
      <c r="A12" s="210" t="s">
        <v>2258</v>
      </c>
      <c r="B12" s="211" t="s">
        <v>1717</v>
      </c>
      <c r="C12" s="8" t="s">
        <v>2240</v>
      </c>
      <c r="D12" s="7" t="s">
        <v>2259</v>
      </c>
      <c r="E12" s="9">
        <v>46056</v>
      </c>
      <c r="F12" s="9">
        <v>46084</v>
      </c>
      <c r="G12" s="7" t="s">
        <v>482</v>
      </c>
      <c r="H12" s="7" t="s">
        <v>85</v>
      </c>
      <c r="I12" s="227" t="s">
        <v>105</v>
      </c>
      <c r="J12" s="12">
        <v>1650</v>
      </c>
      <c r="K12" s="12"/>
      <c r="L12" s="258">
        <v>100</v>
      </c>
      <c r="M12" s="247">
        <f t="shared" si="0"/>
        <v>1750</v>
      </c>
      <c r="N12" s="247">
        <v>0</v>
      </c>
      <c r="O12"/>
      <c r="P12" s="150">
        <v>46116</v>
      </c>
      <c r="Q12" s="151">
        <v>1750</v>
      </c>
    </row>
    <row r="13" spans="1:17" ht="24">
      <c r="A13" s="210" t="s">
        <v>2260</v>
      </c>
      <c r="B13" s="7" t="s">
        <v>1717</v>
      </c>
      <c r="C13" s="8" t="s">
        <v>2240</v>
      </c>
      <c r="D13" s="7" t="s">
        <v>2261</v>
      </c>
      <c r="E13" s="9">
        <v>46117</v>
      </c>
      <c r="F13" s="9">
        <v>46086</v>
      </c>
      <c r="G13" s="7" t="s">
        <v>149</v>
      </c>
      <c r="H13" s="8" t="s">
        <v>66</v>
      </c>
      <c r="I13" s="11" t="s">
        <v>2262</v>
      </c>
      <c r="J13" s="12">
        <v>3250</v>
      </c>
      <c r="K13" s="12">
        <v>1600</v>
      </c>
      <c r="L13" s="12">
        <v>100</v>
      </c>
      <c r="M13" s="259">
        <f t="shared" ref="M13:M25" si="1">SUM(J13:L13)</f>
        <v>4950</v>
      </c>
      <c r="N13" s="247">
        <v>0</v>
      </c>
      <c r="O13"/>
      <c r="P13" s="150">
        <v>46122</v>
      </c>
      <c r="Q13" s="151">
        <v>1500</v>
      </c>
    </row>
    <row r="14" spans="1:17" ht="25.9" customHeight="1">
      <c r="A14" s="210" t="s">
        <v>2263</v>
      </c>
      <c r="B14" s="211" t="s">
        <v>1717</v>
      </c>
      <c r="C14" s="8" t="s">
        <v>2240</v>
      </c>
      <c r="D14" s="7" t="s">
        <v>2264</v>
      </c>
      <c r="E14" s="9">
        <v>46061</v>
      </c>
      <c r="F14" s="9">
        <v>46091</v>
      </c>
      <c r="G14" s="7" t="s">
        <v>149</v>
      </c>
      <c r="H14" s="212" t="s">
        <v>66</v>
      </c>
      <c r="I14" s="227" t="s">
        <v>105</v>
      </c>
      <c r="J14" s="12">
        <v>1400</v>
      </c>
      <c r="K14" s="12"/>
      <c r="L14" s="258">
        <v>100</v>
      </c>
      <c r="M14" s="247">
        <f t="shared" si="1"/>
        <v>1500</v>
      </c>
      <c r="N14" s="247">
        <v>0</v>
      </c>
      <c r="O14"/>
      <c r="P14" s="150">
        <v>46122</v>
      </c>
      <c r="Q14" s="151">
        <v>1500</v>
      </c>
    </row>
    <row r="15" spans="1:17" ht="24" customHeight="1">
      <c r="A15" s="210" t="s">
        <v>2265</v>
      </c>
      <c r="B15" s="211" t="s">
        <v>1717</v>
      </c>
      <c r="C15" s="8" t="s">
        <v>2240</v>
      </c>
      <c r="D15" s="7" t="s">
        <v>2266</v>
      </c>
      <c r="E15" s="9">
        <v>46061</v>
      </c>
      <c r="F15" s="9">
        <v>46091</v>
      </c>
      <c r="G15" s="7" t="s">
        <v>149</v>
      </c>
      <c r="H15" s="212" t="s">
        <v>66</v>
      </c>
      <c r="I15" s="227" t="s">
        <v>105</v>
      </c>
      <c r="J15" s="12">
        <v>1400</v>
      </c>
      <c r="K15" s="12"/>
      <c r="L15" s="258">
        <v>100</v>
      </c>
      <c r="M15" s="247">
        <f t="shared" si="1"/>
        <v>1500</v>
      </c>
      <c r="N15" s="247">
        <v>0</v>
      </c>
      <c r="O15"/>
      <c r="P15" s="150">
        <v>46140</v>
      </c>
      <c r="Q15" s="151">
        <v>4950</v>
      </c>
    </row>
    <row r="16" spans="1:17" ht="24" customHeight="1">
      <c r="A16" s="210" t="s">
        <v>2267</v>
      </c>
      <c r="B16" s="7" t="s">
        <v>1717</v>
      </c>
      <c r="C16" s="8" t="s">
        <v>2240</v>
      </c>
      <c r="D16" s="7" t="s">
        <v>2268</v>
      </c>
      <c r="E16" s="9">
        <v>46060</v>
      </c>
      <c r="F16" s="9">
        <v>46092</v>
      </c>
      <c r="G16" s="7" t="s">
        <v>84</v>
      </c>
      <c r="H16" s="10" t="s">
        <v>316</v>
      </c>
      <c r="I16" s="11" t="s">
        <v>105</v>
      </c>
      <c r="J16" s="12">
        <v>1400</v>
      </c>
      <c r="K16" s="12"/>
      <c r="L16" s="12">
        <v>100</v>
      </c>
      <c r="M16" s="259">
        <f>SUM(J16:L16)</f>
        <v>1500</v>
      </c>
      <c r="N16" s="247">
        <v>0</v>
      </c>
      <c r="O16"/>
      <c r="P16" s="150">
        <v>46140</v>
      </c>
      <c r="Q16" s="151">
        <v>4950</v>
      </c>
    </row>
    <row r="17" spans="1:17" ht="24" customHeight="1">
      <c r="A17" s="210" t="s">
        <v>2269</v>
      </c>
      <c r="B17" s="7" t="s">
        <v>1717</v>
      </c>
      <c r="C17" s="8" t="s">
        <v>2240</v>
      </c>
      <c r="D17" s="7" t="s">
        <v>2270</v>
      </c>
      <c r="E17" s="9">
        <v>46110</v>
      </c>
      <c r="F17" s="9">
        <v>46133</v>
      </c>
      <c r="G17" s="7" t="s">
        <v>482</v>
      </c>
      <c r="H17" s="10" t="s">
        <v>66</v>
      </c>
      <c r="I17" s="11" t="s">
        <v>2262</v>
      </c>
      <c r="J17" s="12">
        <v>3150</v>
      </c>
      <c r="K17" s="12">
        <v>1600</v>
      </c>
      <c r="L17" s="12">
        <v>100</v>
      </c>
      <c r="M17" s="259">
        <f>SUM(J17:L17)</f>
        <v>4850</v>
      </c>
      <c r="N17" s="247">
        <v>0</v>
      </c>
      <c r="O17"/>
      <c r="P17" s="150">
        <v>46140</v>
      </c>
      <c r="Q17" s="151">
        <v>4950</v>
      </c>
    </row>
    <row r="18" spans="1:17" ht="24" customHeight="1">
      <c r="A18" s="210" t="s">
        <v>2271</v>
      </c>
      <c r="B18" s="7" t="s">
        <v>1717</v>
      </c>
      <c r="C18" s="8" t="s">
        <v>2240</v>
      </c>
      <c r="D18" s="7" t="s">
        <v>2272</v>
      </c>
      <c r="E18" s="9">
        <v>46117</v>
      </c>
      <c r="F18" s="9">
        <v>46142</v>
      </c>
      <c r="G18" s="7" t="s">
        <v>149</v>
      </c>
      <c r="H18" s="10" t="s">
        <v>66</v>
      </c>
      <c r="I18" s="11" t="s">
        <v>2262</v>
      </c>
      <c r="J18" s="12">
        <v>3250</v>
      </c>
      <c r="K18" s="12">
        <v>1600</v>
      </c>
      <c r="L18" s="12">
        <v>100</v>
      </c>
      <c r="M18" s="259">
        <f t="shared" si="1"/>
        <v>4950</v>
      </c>
      <c r="N18" s="247">
        <v>0</v>
      </c>
      <c r="O18"/>
      <c r="P18" s="150">
        <v>46140</v>
      </c>
      <c r="Q18" s="151">
        <v>5100</v>
      </c>
    </row>
    <row r="19" spans="1:17" ht="24" customHeight="1">
      <c r="A19" s="210" t="s">
        <v>2273</v>
      </c>
      <c r="B19" s="7" t="s">
        <v>1717</v>
      </c>
      <c r="C19" s="8" t="s">
        <v>2240</v>
      </c>
      <c r="D19" s="7" t="s">
        <v>2274</v>
      </c>
      <c r="E19" s="9">
        <v>46117</v>
      </c>
      <c r="F19" s="9">
        <v>46142</v>
      </c>
      <c r="G19" s="7" t="s">
        <v>149</v>
      </c>
      <c r="H19" s="10" t="s">
        <v>66</v>
      </c>
      <c r="I19" s="11" t="s">
        <v>2262</v>
      </c>
      <c r="J19" s="12">
        <v>3250</v>
      </c>
      <c r="K19" s="12">
        <v>1600</v>
      </c>
      <c r="L19" s="12">
        <v>100</v>
      </c>
      <c r="M19" s="259">
        <f t="shared" si="1"/>
        <v>4950</v>
      </c>
      <c r="N19" s="247">
        <v>0</v>
      </c>
      <c r="O19"/>
      <c r="P19" s="150">
        <v>46140</v>
      </c>
      <c r="Q19" s="151">
        <v>4850</v>
      </c>
    </row>
    <row r="20" spans="1:17" ht="24" customHeight="1">
      <c r="A20" s="210" t="s">
        <v>2275</v>
      </c>
      <c r="B20" s="7" t="s">
        <v>1717</v>
      </c>
      <c r="C20" s="8" t="s">
        <v>2240</v>
      </c>
      <c r="D20" s="7" t="s">
        <v>2276</v>
      </c>
      <c r="E20" s="9">
        <v>46117</v>
      </c>
      <c r="F20" s="9">
        <v>46142</v>
      </c>
      <c r="G20" s="7" t="s">
        <v>149</v>
      </c>
      <c r="H20" s="10" t="s">
        <v>66</v>
      </c>
      <c r="I20" s="11" t="s">
        <v>2262</v>
      </c>
      <c r="J20" s="12">
        <v>3250</v>
      </c>
      <c r="K20" s="12">
        <v>1600</v>
      </c>
      <c r="L20" s="12">
        <v>100</v>
      </c>
      <c r="M20" s="259">
        <f t="shared" si="1"/>
        <v>4950</v>
      </c>
      <c r="N20" s="247">
        <v>0</v>
      </c>
      <c r="O20"/>
      <c r="P20" s="150">
        <v>46140</v>
      </c>
      <c r="Q20" s="151">
        <v>4950</v>
      </c>
    </row>
    <row r="21" spans="1:17" ht="24" customHeight="1">
      <c r="A21" s="210" t="s">
        <v>2277</v>
      </c>
      <c r="B21" s="7" t="s">
        <v>1717</v>
      </c>
      <c r="C21" s="8" t="s">
        <v>2240</v>
      </c>
      <c r="D21" s="7" t="s">
        <v>2278</v>
      </c>
      <c r="E21" s="9">
        <v>46117</v>
      </c>
      <c r="F21" s="9">
        <v>46142</v>
      </c>
      <c r="G21" s="7" t="s">
        <v>149</v>
      </c>
      <c r="H21" s="10" t="s">
        <v>66</v>
      </c>
      <c r="I21" s="11" t="s">
        <v>2262</v>
      </c>
      <c r="J21" s="12">
        <v>3250</v>
      </c>
      <c r="K21" s="12">
        <v>1600</v>
      </c>
      <c r="L21" s="12">
        <v>100</v>
      </c>
      <c r="M21" s="259">
        <f t="shared" si="1"/>
        <v>4950</v>
      </c>
      <c r="N21" s="247">
        <v>0</v>
      </c>
      <c r="O21"/>
      <c r="P21" s="150">
        <v>46140</v>
      </c>
      <c r="Q21" s="151">
        <v>4950</v>
      </c>
    </row>
    <row r="22" spans="1:17" ht="24" customHeight="1">
      <c r="A22" s="210" t="s">
        <v>2279</v>
      </c>
      <c r="B22" s="7" t="s">
        <v>1717</v>
      </c>
      <c r="C22" s="8" t="s">
        <v>2240</v>
      </c>
      <c r="D22" s="7" t="s">
        <v>2280</v>
      </c>
      <c r="E22" s="9">
        <v>46117</v>
      </c>
      <c r="F22" s="9">
        <v>46142</v>
      </c>
      <c r="G22" s="7" t="s">
        <v>149</v>
      </c>
      <c r="H22" s="10" t="s">
        <v>66</v>
      </c>
      <c r="I22" s="11" t="s">
        <v>2262</v>
      </c>
      <c r="J22" s="12">
        <v>3250</v>
      </c>
      <c r="K22" s="12">
        <v>1600</v>
      </c>
      <c r="L22" s="12">
        <v>100</v>
      </c>
      <c r="M22" s="259">
        <f t="shared" si="1"/>
        <v>4950</v>
      </c>
      <c r="N22" s="247">
        <v>0</v>
      </c>
      <c r="O22"/>
      <c r="P22" s="150">
        <v>46140</v>
      </c>
      <c r="Q22" s="151">
        <v>4950</v>
      </c>
    </row>
    <row r="23" spans="1:17" ht="24">
      <c r="A23" s="210" t="s">
        <v>2281</v>
      </c>
      <c r="B23" s="7" t="s">
        <v>1717</v>
      </c>
      <c r="C23" s="8" t="s">
        <v>2240</v>
      </c>
      <c r="D23" s="226" t="s">
        <v>2282</v>
      </c>
      <c r="E23" s="9">
        <v>46113</v>
      </c>
      <c r="F23" s="9">
        <v>41395</v>
      </c>
      <c r="G23" s="9" t="s">
        <v>89</v>
      </c>
      <c r="H23" s="284" t="s">
        <v>85</v>
      </c>
      <c r="I23" s="11" t="s">
        <v>2262</v>
      </c>
      <c r="J23" s="12">
        <f>3400</f>
        <v>3400</v>
      </c>
      <c r="K23" s="222">
        <v>1600</v>
      </c>
      <c r="L23" s="222">
        <v>100</v>
      </c>
      <c r="M23" s="285">
        <f t="shared" si="1"/>
        <v>5100</v>
      </c>
      <c r="N23" s="247">
        <v>0</v>
      </c>
      <c r="O23"/>
      <c r="P23" s="150">
        <v>46164</v>
      </c>
      <c r="Q23" s="151">
        <v>4900</v>
      </c>
    </row>
    <row r="24" spans="1:17" ht="24" customHeight="1">
      <c r="A24" s="210" t="s">
        <v>2283</v>
      </c>
      <c r="B24" s="7" t="s">
        <v>1717</v>
      </c>
      <c r="C24" s="8" t="s">
        <v>2240</v>
      </c>
      <c r="D24" s="7" t="s">
        <v>2284</v>
      </c>
      <c r="E24" s="9">
        <v>46134</v>
      </c>
      <c r="F24" s="9">
        <v>46160</v>
      </c>
      <c r="G24" s="7" t="s">
        <v>89</v>
      </c>
      <c r="H24" s="10" t="s">
        <v>85</v>
      </c>
      <c r="I24" s="11" t="s">
        <v>2262</v>
      </c>
      <c r="J24" s="12">
        <v>3100</v>
      </c>
      <c r="K24" s="12">
        <v>1700</v>
      </c>
      <c r="L24" s="12">
        <v>100</v>
      </c>
      <c r="M24" s="259">
        <f t="shared" si="1"/>
        <v>4900</v>
      </c>
      <c r="N24" s="247">
        <v>0</v>
      </c>
      <c r="O24" s="1"/>
      <c r="P24" s="150">
        <v>46191</v>
      </c>
      <c r="Q24" s="151">
        <v>3500</v>
      </c>
    </row>
    <row r="25" spans="1:17" ht="21" customHeight="1">
      <c r="A25" s="210" t="s">
        <v>2285</v>
      </c>
      <c r="B25" s="7" t="s">
        <v>1717</v>
      </c>
      <c r="C25" s="8" t="s">
        <v>2240</v>
      </c>
      <c r="D25" s="7" t="s">
        <v>2286</v>
      </c>
      <c r="E25" s="9">
        <v>46144</v>
      </c>
      <c r="F25" s="9">
        <v>46162</v>
      </c>
      <c r="G25" s="7" t="s">
        <v>507</v>
      </c>
      <c r="H25" s="10" t="s">
        <v>85</v>
      </c>
      <c r="I25" s="11" t="s">
        <v>105</v>
      </c>
      <c r="J25" s="12">
        <v>3400</v>
      </c>
      <c r="K25" s="12">
        <v>0</v>
      </c>
      <c r="L25" s="12">
        <v>100</v>
      </c>
      <c r="M25" s="259">
        <f t="shared" si="1"/>
        <v>3500</v>
      </c>
      <c r="N25" s="247">
        <v>0</v>
      </c>
      <c r="O25" s="1"/>
      <c r="P25" s="369">
        <v>46268</v>
      </c>
      <c r="Q25" s="370">
        <v>1300</v>
      </c>
    </row>
  </sheetData>
  <sortState xmlns:xlrd2="http://schemas.microsoft.com/office/spreadsheetml/2017/richdata2" ref="A3:O25">
    <sortCondition ref="F3:F25"/>
  </sortState>
  <conditionalFormatting sqref="A1:A2">
    <cfRule type="duplicateValues" dxfId="1420" priority="82"/>
    <cfRule type="duplicateValues" dxfId="1419" priority="84"/>
    <cfRule type="duplicateValues" dxfId="1418" priority="85"/>
    <cfRule type="duplicateValues" dxfId="1417" priority="87"/>
    <cfRule type="duplicateValues" dxfId="1416" priority="88"/>
    <cfRule type="duplicateValues" dxfId="1415" priority="89"/>
    <cfRule type="duplicateValues" dxfId="1414" priority="90"/>
    <cfRule type="duplicateValues" dxfId="1413" priority="95"/>
  </conditionalFormatting>
  <conditionalFormatting sqref="A1:A1048576">
    <cfRule type="duplicateValues" dxfId="1412" priority="32"/>
  </conditionalFormatting>
  <conditionalFormatting sqref="A3:A13 A23">
    <cfRule type="duplicateValues" dxfId="1411" priority="116"/>
    <cfRule type="duplicateValues" dxfId="1410" priority="117"/>
    <cfRule type="duplicateValues" dxfId="1409" priority="118"/>
    <cfRule type="duplicateValues" dxfId="1408" priority="119"/>
    <cfRule type="duplicateValues" dxfId="1407" priority="120"/>
    <cfRule type="duplicateValues" dxfId="1406" priority="121"/>
    <cfRule type="duplicateValues" dxfId="1405" priority="122"/>
    <cfRule type="duplicateValues" dxfId="1404" priority="123"/>
    <cfRule type="duplicateValues" dxfId="1403" priority="124"/>
    <cfRule type="duplicateValues" dxfId="1402" priority="125"/>
    <cfRule type="duplicateValues" dxfId="1401" priority="126"/>
    <cfRule type="duplicateValues" dxfId="1400" priority="127"/>
    <cfRule type="duplicateValues" dxfId="1399" priority="128"/>
    <cfRule type="duplicateValues" dxfId="1398" priority="129"/>
    <cfRule type="duplicateValues" dxfId="1397" priority="130"/>
  </conditionalFormatting>
  <conditionalFormatting sqref="A14:A15">
    <cfRule type="duplicateValues" dxfId="1396" priority="63"/>
    <cfRule type="duplicateValues" dxfId="1395" priority="64"/>
    <cfRule type="duplicateValues" dxfId="1394" priority="65"/>
    <cfRule type="duplicateValues" dxfId="1393" priority="66"/>
    <cfRule type="duplicateValues" dxfId="1392" priority="67"/>
    <cfRule type="duplicateValues" dxfId="1391" priority="68"/>
    <cfRule type="duplicateValues" dxfId="1390" priority="69"/>
    <cfRule type="duplicateValues" dxfId="1389" priority="70"/>
  </conditionalFormatting>
  <conditionalFormatting sqref="A16:A22">
    <cfRule type="duplicateValues" dxfId="1388" priority="48"/>
    <cfRule type="duplicateValues" dxfId="1387" priority="49"/>
    <cfRule type="duplicateValues" dxfId="1386" priority="50"/>
    <cfRule type="duplicateValues" dxfId="1385" priority="51"/>
    <cfRule type="duplicateValues" dxfId="1384" priority="52"/>
    <cfRule type="duplicateValues" dxfId="1383" priority="53"/>
    <cfRule type="duplicateValues" dxfId="1382" priority="54"/>
    <cfRule type="duplicateValues" dxfId="1381" priority="55"/>
  </conditionalFormatting>
  <conditionalFormatting sqref="A24:A25">
    <cfRule type="duplicateValues" dxfId="1380" priority="4514"/>
    <cfRule type="duplicateValues" dxfId="1379" priority="4515"/>
    <cfRule type="duplicateValues" dxfId="1378" priority="4516"/>
    <cfRule type="duplicateValues" dxfId="1377" priority="4517"/>
    <cfRule type="duplicateValues" dxfId="1376" priority="4518"/>
    <cfRule type="duplicateValues" dxfId="1375" priority="4519"/>
    <cfRule type="duplicateValues" dxfId="1374" priority="4520"/>
    <cfRule type="duplicateValues" dxfId="1373" priority="4521"/>
  </conditionalFormatting>
  <conditionalFormatting sqref="A26:A1048576 A1:A2">
    <cfRule type="duplicateValues" dxfId="1372" priority="98"/>
    <cfRule type="duplicateValues" dxfId="1371" priority="99"/>
    <cfRule type="duplicateValues" dxfId="1370" priority="100"/>
    <cfRule type="duplicateValues" dxfId="1369" priority="101"/>
    <cfRule type="duplicateValues" dxfId="1368" priority="102"/>
    <cfRule type="duplicateValues" dxfId="1367" priority="103"/>
    <cfRule type="duplicateValues" dxfId="1366" priority="104"/>
  </conditionalFormatting>
  <conditionalFormatting sqref="A26:A1048576 A1:A13 A23">
    <cfRule type="duplicateValues" dxfId="1365" priority="78"/>
    <cfRule type="duplicateValues" dxfId="1364" priority="79"/>
    <cfRule type="duplicateValues" dxfId="1363" priority="105"/>
    <cfRule type="duplicateValues" dxfId="1362" priority="106"/>
  </conditionalFormatting>
  <conditionalFormatting sqref="A26:A1048576">
    <cfRule type="duplicateValues" dxfId="1361" priority="107"/>
    <cfRule type="duplicateValues" dxfId="1360" priority="108"/>
    <cfRule type="duplicateValues" dxfId="1359" priority="109"/>
  </conditionalFormatting>
  <conditionalFormatting sqref="D1:D2">
    <cfRule type="duplicateValues" dxfId="1358" priority="83"/>
    <cfRule type="duplicateValues" dxfId="1357" priority="86"/>
    <cfRule type="duplicateValues" dxfId="1356" priority="91"/>
    <cfRule type="duplicateValues" dxfId="1355" priority="92"/>
    <cfRule type="duplicateValues" dxfId="1354" priority="93"/>
    <cfRule type="duplicateValues" dxfId="1353" priority="94"/>
    <cfRule type="duplicateValues" dxfId="1352" priority="96"/>
  </conditionalFormatting>
  <conditionalFormatting sqref="D3:D13 D23">
    <cfRule type="duplicateValues" dxfId="1351" priority="131"/>
    <cfRule type="duplicateValues" dxfId="1350" priority="132"/>
    <cfRule type="duplicateValues" dxfId="1349" priority="133"/>
    <cfRule type="duplicateValues" dxfId="1348" priority="134"/>
    <cfRule type="duplicateValues" dxfId="1347" priority="135"/>
    <cfRule type="duplicateValues" dxfId="1346" priority="136"/>
    <cfRule type="duplicateValues" dxfId="1345" priority="137"/>
    <cfRule type="duplicateValues" dxfId="1344" priority="138"/>
    <cfRule type="duplicateValues" dxfId="1343" priority="139"/>
    <cfRule type="duplicateValues" dxfId="1342" priority="140"/>
    <cfRule type="duplicateValues" dxfId="1341" priority="141"/>
  </conditionalFormatting>
  <conditionalFormatting sqref="D14:D15">
    <cfRule type="duplicateValues" dxfId="1340" priority="71"/>
    <cfRule type="duplicateValues" dxfId="1339" priority="72"/>
    <cfRule type="duplicateValues" dxfId="1338" priority="73"/>
    <cfRule type="duplicateValues" dxfId="1337" priority="74"/>
    <cfRule type="duplicateValues" dxfId="1336" priority="75"/>
    <cfRule type="duplicateValues" dxfId="1335" priority="76"/>
    <cfRule type="duplicateValues" dxfId="1334" priority="77"/>
  </conditionalFormatting>
  <conditionalFormatting sqref="D16:D22">
    <cfRule type="duplicateValues" dxfId="1333" priority="56"/>
    <cfRule type="duplicateValues" dxfId="1332" priority="57"/>
    <cfRule type="duplicateValues" dxfId="1331" priority="58"/>
    <cfRule type="duplicateValues" dxfId="1330" priority="59"/>
    <cfRule type="duplicateValues" dxfId="1329" priority="60"/>
    <cfRule type="duplicateValues" dxfId="1328" priority="61"/>
    <cfRule type="duplicateValues" dxfId="1327" priority="62"/>
  </conditionalFormatting>
  <conditionalFormatting sqref="D24:D25">
    <cfRule type="duplicateValues" dxfId="1326" priority="4537"/>
    <cfRule type="duplicateValues" dxfId="1325" priority="4538"/>
    <cfRule type="duplicateValues" dxfId="1324" priority="4539"/>
    <cfRule type="duplicateValues" dxfId="1323" priority="4540"/>
    <cfRule type="duplicateValues" dxfId="1322" priority="4541"/>
    <cfRule type="duplicateValues" dxfId="1321" priority="4542"/>
    <cfRule type="duplicateValues" dxfId="1320" priority="4543"/>
  </conditionalFormatting>
  <conditionalFormatting sqref="D26:D1048576 D1:D2">
    <cfRule type="duplicateValues" dxfId="1319" priority="110"/>
    <cfRule type="duplicateValues" dxfId="1318" priority="111"/>
    <cfRule type="duplicateValues" dxfId="1317" priority="112"/>
    <cfRule type="duplicateValues" dxfId="1316" priority="113"/>
    <cfRule type="duplicateValues" dxfId="1315" priority="114"/>
    <cfRule type="duplicateValues" dxfId="1314" priority="115"/>
  </conditionalFormatting>
  <conditionalFormatting sqref="D26:D1048576 D1:D13 D23 A1:A13 A23 A26:A1048576">
    <cfRule type="duplicateValues" dxfId="1313" priority="97"/>
  </conditionalFormatting>
  <conditionalFormatting sqref="D26:D1048576 D1:D13 D23">
    <cfRule type="duplicateValues" dxfId="1312" priority="80"/>
    <cfRule type="duplicateValues" dxfId="1311" priority="81"/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62621-1AF2-463D-A520-FA6FF840BEDD}">
  <sheetPr codeName="Hoja36"/>
  <dimension ref="A1:P18"/>
  <sheetViews>
    <sheetView workbookViewId="0">
      <selection activeCell="K12" sqref="K12"/>
    </sheetView>
  </sheetViews>
  <sheetFormatPr defaultColWidth="11.42578125" defaultRowHeight="14.45"/>
  <cols>
    <col min="1" max="1" width="10.28515625" bestFit="1" customWidth="1"/>
    <col min="2" max="2" width="18.7109375" customWidth="1"/>
    <col min="3" max="3" width="10.7109375" customWidth="1"/>
    <col min="4" max="4" width="17" customWidth="1"/>
    <col min="5" max="6" width="5.7109375" bestFit="1" customWidth="1"/>
    <col min="7" max="7" width="8.42578125" bestFit="1" customWidth="1"/>
    <col min="8" max="8" width="11.7109375" customWidth="1"/>
    <col min="9" max="9" width="19.140625" bestFit="1" customWidth="1"/>
    <col min="10" max="10" width="8.28515625" bestFit="1" customWidth="1"/>
    <col min="11" max="11" width="11.85546875" customWidth="1"/>
    <col min="13" max="13" width="8.28515625" bestFit="1" customWidth="1"/>
  </cols>
  <sheetData>
    <row r="1" spans="1:16" ht="15.6">
      <c r="L1" s="95">
        <f>(SUM(L3:L114)-SUM(P4:P119))</f>
        <v>73800</v>
      </c>
    </row>
    <row r="2" spans="1:16" ht="27" customHeight="1">
      <c r="A2" s="3" t="s">
        <v>45</v>
      </c>
      <c r="B2" s="3" t="s">
        <v>47</v>
      </c>
      <c r="C2" s="3" t="s">
        <v>46</v>
      </c>
      <c r="D2" s="3" t="s">
        <v>49</v>
      </c>
      <c r="E2" s="3" t="s">
        <v>50</v>
      </c>
      <c r="F2" s="3" t="s">
        <v>51</v>
      </c>
      <c r="G2" s="3" t="s">
        <v>52</v>
      </c>
      <c r="H2" s="4" t="s">
        <v>53</v>
      </c>
      <c r="I2" s="3" t="s">
        <v>54</v>
      </c>
      <c r="J2" s="3" t="s">
        <v>58</v>
      </c>
      <c r="K2" s="78" t="s">
        <v>2287</v>
      </c>
      <c r="L2" s="5" t="s">
        <v>55</v>
      </c>
      <c r="M2" s="3"/>
    </row>
    <row r="3" spans="1:16">
      <c r="A3" s="7" t="s">
        <v>2288</v>
      </c>
      <c r="B3" s="211" t="s">
        <v>2289</v>
      </c>
      <c r="C3" s="211" t="s">
        <v>11</v>
      </c>
      <c r="D3" s="7" t="s">
        <v>2290</v>
      </c>
      <c r="E3" s="9">
        <v>46162</v>
      </c>
      <c r="F3" s="9">
        <v>46196</v>
      </c>
      <c r="G3" s="212" t="s">
        <v>89</v>
      </c>
      <c r="H3" s="278" t="s">
        <v>621</v>
      </c>
      <c r="I3" s="13" t="s">
        <v>105</v>
      </c>
      <c r="J3" s="13">
        <v>4250</v>
      </c>
      <c r="K3" s="13">
        <v>0</v>
      </c>
      <c r="L3" s="13">
        <f t="shared" ref="L3:L4" si="0">J3+K3</f>
        <v>4250</v>
      </c>
      <c r="M3" s="13">
        <v>0</v>
      </c>
      <c r="O3" s="55" t="s">
        <v>56</v>
      </c>
      <c r="P3" s="56" t="s">
        <v>57</v>
      </c>
    </row>
    <row r="4" spans="1:16">
      <c r="A4" s="7" t="s">
        <v>2291</v>
      </c>
      <c r="B4" s="211" t="s">
        <v>2289</v>
      </c>
      <c r="C4" s="211" t="s">
        <v>11</v>
      </c>
      <c r="D4" s="7" t="s">
        <v>2292</v>
      </c>
      <c r="E4" s="9">
        <v>46162</v>
      </c>
      <c r="F4" s="9">
        <v>46196</v>
      </c>
      <c r="G4" s="212" t="s">
        <v>89</v>
      </c>
      <c r="H4" s="278" t="s">
        <v>621</v>
      </c>
      <c r="I4" s="13" t="s">
        <v>105</v>
      </c>
      <c r="J4" s="13">
        <v>4250</v>
      </c>
      <c r="K4" s="13">
        <v>0</v>
      </c>
      <c r="L4" s="13">
        <f t="shared" si="0"/>
        <v>4250</v>
      </c>
      <c r="M4" s="13">
        <v>0</v>
      </c>
      <c r="O4" s="464">
        <v>46205</v>
      </c>
      <c r="P4" s="466">
        <v>14000</v>
      </c>
    </row>
    <row r="5" spans="1:16">
      <c r="A5" s="7" t="s">
        <v>2293</v>
      </c>
      <c r="B5" s="211" t="s">
        <v>2289</v>
      </c>
      <c r="C5" s="211" t="s">
        <v>11</v>
      </c>
      <c r="D5" s="7" t="s">
        <v>2294</v>
      </c>
      <c r="E5" s="9">
        <v>46169</v>
      </c>
      <c r="F5" s="9">
        <v>46210</v>
      </c>
      <c r="G5" s="212" t="s">
        <v>89</v>
      </c>
      <c r="H5" s="278" t="s">
        <v>621</v>
      </c>
      <c r="I5" s="13" t="s">
        <v>105</v>
      </c>
      <c r="J5" s="13">
        <v>5500</v>
      </c>
      <c r="K5" s="13">
        <v>0</v>
      </c>
      <c r="L5" s="13">
        <f>J5+K5</f>
        <v>5500</v>
      </c>
      <c r="M5" s="13">
        <v>0</v>
      </c>
      <c r="O5" s="465"/>
      <c r="P5" s="467"/>
    </row>
    <row r="6" spans="1:16">
      <c r="A6" s="7" t="s">
        <v>2295</v>
      </c>
      <c r="B6" s="211" t="s">
        <v>2289</v>
      </c>
      <c r="C6" s="211" t="s">
        <v>11</v>
      </c>
      <c r="D6" s="7" t="s">
        <v>2296</v>
      </c>
      <c r="E6" s="9">
        <v>46190</v>
      </c>
      <c r="F6" s="9">
        <v>46224</v>
      </c>
      <c r="G6" s="212" t="s">
        <v>89</v>
      </c>
      <c r="H6" s="278" t="s">
        <v>621</v>
      </c>
      <c r="I6" s="13" t="s">
        <v>105</v>
      </c>
      <c r="J6" s="13">
        <f>6950+180</f>
        <v>7130</v>
      </c>
      <c r="K6" s="13">
        <v>0</v>
      </c>
      <c r="L6" s="13">
        <f>J6+K6</f>
        <v>7130</v>
      </c>
      <c r="M6" s="13">
        <v>0</v>
      </c>
      <c r="O6" s="74">
        <v>46240</v>
      </c>
      <c r="P6" s="76">
        <v>14260</v>
      </c>
    </row>
    <row r="7" spans="1:16">
      <c r="A7" s="7" t="s">
        <v>2297</v>
      </c>
      <c r="B7" s="211" t="s">
        <v>2289</v>
      </c>
      <c r="C7" s="211" t="s">
        <v>11</v>
      </c>
      <c r="D7" s="7" t="s">
        <v>2298</v>
      </c>
      <c r="E7" s="9">
        <v>46190</v>
      </c>
      <c r="F7" s="9">
        <v>46224</v>
      </c>
      <c r="G7" s="212" t="s">
        <v>89</v>
      </c>
      <c r="H7" s="278" t="s">
        <v>621</v>
      </c>
      <c r="I7" s="13" t="s">
        <v>105</v>
      </c>
      <c r="J7" s="13">
        <f>6950+180</f>
        <v>7130</v>
      </c>
      <c r="K7" s="13">
        <v>0</v>
      </c>
      <c r="L7" s="13">
        <f>J7+K7</f>
        <v>7130</v>
      </c>
      <c r="M7" s="13">
        <v>0</v>
      </c>
    </row>
    <row r="8" spans="1:16">
      <c r="A8" s="32" t="s">
        <v>2299</v>
      </c>
      <c r="B8" s="106" t="s">
        <v>2289</v>
      </c>
      <c r="C8" s="106" t="s">
        <v>11</v>
      </c>
      <c r="D8" s="32" t="s">
        <v>2300</v>
      </c>
      <c r="E8" s="34">
        <v>46205</v>
      </c>
      <c r="F8" s="34">
        <v>46240</v>
      </c>
      <c r="G8" s="77" t="s">
        <v>89</v>
      </c>
      <c r="H8" s="149" t="s">
        <v>621</v>
      </c>
      <c r="I8" s="113" t="s">
        <v>105</v>
      </c>
      <c r="J8" s="113">
        <v>6950</v>
      </c>
      <c r="K8" s="113">
        <v>180</v>
      </c>
      <c r="L8" s="113">
        <f t="shared" ref="L8:L10" si="1">J8+K8</f>
        <v>7130</v>
      </c>
      <c r="M8" s="113">
        <f t="shared" ref="M8:M11" si="2">L8</f>
        <v>7130</v>
      </c>
    </row>
    <row r="9" spans="1:16">
      <c r="A9" s="32" t="s">
        <v>2301</v>
      </c>
      <c r="B9" s="106" t="s">
        <v>2289</v>
      </c>
      <c r="C9" s="106" t="s">
        <v>11</v>
      </c>
      <c r="D9" s="32" t="s">
        <v>2302</v>
      </c>
      <c r="E9" s="34">
        <v>46197</v>
      </c>
      <c r="F9" s="34">
        <v>46231</v>
      </c>
      <c r="G9" s="77" t="s">
        <v>89</v>
      </c>
      <c r="H9" s="149" t="s">
        <v>621</v>
      </c>
      <c r="I9" s="113" t="s">
        <v>105</v>
      </c>
      <c r="J9" s="113">
        <v>6950</v>
      </c>
      <c r="K9" s="113">
        <v>180</v>
      </c>
      <c r="L9" s="113">
        <f t="shared" si="1"/>
        <v>7130</v>
      </c>
      <c r="M9" s="113">
        <f t="shared" si="2"/>
        <v>7130</v>
      </c>
    </row>
    <row r="10" spans="1:16">
      <c r="A10" s="32" t="s">
        <v>2303</v>
      </c>
      <c r="B10" s="106" t="s">
        <v>2289</v>
      </c>
      <c r="C10" s="106" t="s">
        <v>11</v>
      </c>
      <c r="D10" s="32" t="s">
        <v>2304</v>
      </c>
      <c r="E10" s="34">
        <v>46197</v>
      </c>
      <c r="F10" s="34">
        <v>46231</v>
      </c>
      <c r="G10" s="77" t="s">
        <v>89</v>
      </c>
      <c r="H10" s="149" t="s">
        <v>621</v>
      </c>
      <c r="I10" s="113" t="s">
        <v>105</v>
      </c>
      <c r="J10" s="113">
        <v>6950</v>
      </c>
      <c r="K10" s="113">
        <v>180</v>
      </c>
      <c r="L10" s="113">
        <f t="shared" si="1"/>
        <v>7130</v>
      </c>
      <c r="M10" s="113">
        <f t="shared" si="2"/>
        <v>7130</v>
      </c>
    </row>
    <row r="11" spans="1:16">
      <c r="A11" s="32" t="s">
        <v>2305</v>
      </c>
      <c r="B11" s="106" t="s">
        <v>2289</v>
      </c>
      <c r="C11" s="106" t="s">
        <v>11</v>
      </c>
      <c r="D11" s="32" t="s">
        <v>2306</v>
      </c>
      <c r="E11" s="34">
        <v>46225</v>
      </c>
      <c r="F11" s="34">
        <v>46259</v>
      </c>
      <c r="G11" s="77" t="s">
        <v>89</v>
      </c>
      <c r="H11" s="149" t="s">
        <v>621</v>
      </c>
      <c r="I11" s="113" t="s">
        <v>105</v>
      </c>
      <c r="J11" s="113">
        <v>5200</v>
      </c>
      <c r="K11" s="113">
        <v>0</v>
      </c>
      <c r="L11" s="113">
        <f t="shared" ref="L11" si="3">J11+K11</f>
        <v>5200</v>
      </c>
      <c r="M11" s="113">
        <f t="shared" si="2"/>
        <v>5200</v>
      </c>
    </row>
    <row r="12" spans="1:16">
      <c r="A12" s="32" t="s">
        <v>2307</v>
      </c>
      <c r="B12" s="106" t="s">
        <v>2289</v>
      </c>
      <c r="C12" s="106" t="s">
        <v>11</v>
      </c>
      <c r="D12" s="32" t="s">
        <v>2308</v>
      </c>
      <c r="E12" s="34">
        <v>46232</v>
      </c>
      <c r="F12" s="34">
        <v>46266</v>
      </c>
      <c r="G12" s="77" t="s">
        <v>89</v>
      </c>
      <c r="H12" s="149" t="s">
        <v>621</v>
      </c>
      <c r="I12" s="113" t="s">
        <v>105</v>
      </c>
      <c r="J12" s="113">
        <v>5000</v>
      </c>
      <c r="K12" s="113">
        <v>180</v>
      </c>
      <c r="L12" s="113">
        <f>J12+K12</f>
        <v>5180</v>
      </c>
      <c r="M12" s="113">
        <f>L12</f>
        <v>5180</v>
      </c>
    </row>
    <row r="13" spans="1:16">
      <c r="A13" s="32" t="s">
        <v>2309</v>
      </c>
      <c r="B13" s="106" t="s">
        <v>2289</v>
      </c>
      <c r="C13" s="106" t="s">
        <v>11</v>
      </c>
      <c r="D13" s="32" t="s">
        <v>2310</v>
      </c>
      <c r="E13" s="34">
        <v>46246</v>
      </c>
      <c r="F13" s="34">
        <v>46285</v>
      </c>
      <c r="G13" s="77" t="s">
        <v>89</v>
      </c>
      <c r="H13" s="149" t="s">
        <v>621</v>
      </c>
      <c r="I13" s="113" t="s">
        <v>105</v>
      </c>
      <c r="J13" s="113">
        <v>6550</v>
      </c>
      <c r="K13" s="113">
        <v>180</v>
      </c>
      <c r="L13" s="113">
        <f>J13+K13</f>
        <v>6730</v>
      </c>
      <c r="M13" s="113">
        <f>L13</f>
        <v>6730</v>
      </c>
    </row>
    <row r="14" spans="1:16">
      <c r="A14" s="32" t="s">
        <v>2311</v>
      </c>
      <c r="B14" s="106" t="s">
        <v>2289</v>
      </c>
      <c r="C14" s="106" t="s">
        <v>11</v>
      </c>
      <c r="D14" s="32" t="s">
        <v>2312</v>
      </c>
      <c r="E14" s="34">
        <v>46239</v>
      </c>
      <c r="F14" s="34">
        <v>46273</v>
      </c>
      <c r="G14" s="77" t="s">
        <v>149</v>
      </c>
      <c r="H14" s="149" t="s">
        <v>621</v>
      </c>
      <c r="I14" s="113" t="s">
        <v>105</v>
      </c>
      <c r="J14" s="113">
        <v>5600</v>
      </c>
      <c r="K14" s="113">
        <v>180</v>
      </c>
      <c r="L14" s="113">
        <f>J14+K14</f>
        <v>5780</v>
      </c>
      <c r="M14" s="113">
        <f>L14</f>
        <v>5780</v>
      </c>
    </row>
    <row r="15" spans="1:16">
      <c r="A15" s="32" t="s">
        <v>2313</v>
      </c>
      <c r="B15" s="106" t="s">
        <v>2289</v>
      </c>
      <c r="C15" s="106" t="s">
        <v>11</v>
      </c>
      <c r="D15" s="32" t="s">
        <v>2314</v>
      </c>
      <c r="E15" s="34">
        <v>46258</v>
      </c>
      <c r="F15" s="34">
        <v>46288</v>
      </c>
      <c r="G15" s="77" t="s">
        <v>84</v>
      </c>
      <c r="H15" s="149" t="s">
        <v>621</v>
      </c>
      <c r="I15" s="113" t="s">
        <v>105</v>
      </c>
      <c r="J15" s="113">
        <v>7600</v>
      </c>
      <c r="K15" s="113">
        <v>180</v>
      </c>
      <c r="L15" s="113">
        <f t="shared" ref="L15:L16" si="4">J15+K15</f>
        <v>7780</v>
      </c>
      <c r="M15" s="113">
        <f t="shared" ref="M15:M16" si="5">L15</f>
        <v>7780</v>
      </c>
    </row>
    <row r="16" spans="1:16">
      <c r="A16" s="32" t="s">
        <v>2315</v>
      </c>
      <c r="B16" s="106" t="s">
        <v>2289</v>
      </c>
      <c r="C16" s="106" t="s">
        <v>11</v>
      </c>
      <c r="D16" s="32" t="s">
        <v>2316</v>
      </c>
      <c r="E16" s="34">
        <v>46258</v>
      </c>
      <c r="F16" s="34">
        <v>46288</v>
      </c>
      <c r="G16" s="77" t="s">
        <v>84</v>
      </c>
      <c r="H16" s="149" t="s">
        <v>621</v>
      </c>
      <c r="I16" s="113" t="s">
        <v>105</v>
      </c>
      <c r="J16" s="113">
        <v>7600</v>
      </c>
      <c r="K16" s="113">
        <v>180</v>
      </c>
      <c r="L16" s="113">
        <f t="shared" si="4"/>
        <v>7780</v>
      </c>
      <c r="M16" s="113">
        <f t="shared" si="5"/>
        <v>7780</v>
      </c>
    </row>
    <row r="17" spans="1:13">
      <c r="A17" s="32" t="s">
        <v>2317</v>
      </c>
      <c r="B17" s="106" t="s">
        <v>2289</v>
      </c>
      <c r="C17" s="106" t="s">
        <v>2289</v>
      </c>
      <c r="D17" s="32" t="s">
        <v>2318</v>
      </c>
      <c r="E17" s="34">
        <v>46274</v>
      </c>
      <c r="F17" s="34">
        <v>46308</v>
      </c>
      <c r="G17" s="77" t="s">
        <v>89</v>
      </c>
      <c r="H17" s="149" t="s">
        <v>621</v>
      </c>
      <c r="I17" s="113" t="s">
        <v>105</v>
      </c>
      <c r="J17" s="113">
        <v>7650</v>
      </c>
      <c r="K17" s="113">
        <v>180</v>
      </c>
      <c r="L17" s="113">
        <f t="shared" ref="L17" si="6">J17+K17</f>
        <v>7830</v>
      </c>
      <c r="M17" s="113">
        <f t="shared" ref="M17" si="7">L17</f>
        <v>7830</v>
      </c>
    </row>
    <row r="18" spans="1:13">
      <c r="A18" s="425" t="s">
        <v>2319</v>
      </c>
      <c r="B18" s="423" t="s">
        <v>2289</v>
      </c>
      <c r="C18" s="423" t="s">
        <v>11</v>
      </c>
      <c r="D18" s="425" t="s">
        <v>2320</v>
      </c>
      <c r="E18" s="426">
        <v>46295</v>
      </c>
      <c r="F18" s="426">
        <v>46331</v>
      </c>
      <c r="G18" s="430" t="s">
        <v>89</v>
      </c>
      <c r="H18" s="438" t="s">
        <v>621</v>
      </c>
      <c r="I18" s="427" t="s">
        <v>105</v>
      </c>
      <c r="J18" s="427">
        <v>5950</v>
      </c>
      <c r="K18" s="427">
        <v>180</v>
      </c>
      <c r="L18" s="427">
        <f>J18+K18</f>
        <v>6130</v>
      </c>
      <c r="M18" s="427">
        <f>L18</f>
        <v>6130</v>
      </c>
    </row>
  </sheetData>
  <mergeCells count="2">
    <mergeCell ref="O4:O5"/>
    <mergeCell ref="P4:P5"/>
  </mergeCells>
  <conditionalFormatting sqref="A1:A2">
    <cfRule type="duplicateValues" dxfId="1310" priority="3"/>
  </conditionalFormatting>
  <conditionalFormatting sqref="A1:A1048576">
    <cfRule type="duplicateValues" dxfId="1309" priority="1"/>
  </conditionalFormatting>
  <conditionalFormatting sqref="A3:A18">
    <cfRule type="duplicateValues" dxfId="1308" priority="2"/>
  </conditionalFormatting>
  <conditionalFormatting sqref="D1:D2">
    <cfRule type="duplicateValues" dxfId="1307" priority="4"/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E2B04-2D9F-450B-B4EB-052007E8DDF9}">
  <sheetPr codeName="Hoja20"/>
  <dimension ref="A1:P5"/>
  <sheetViews>
    <sheetView workbookViewId="0">
      <selection activeCell="A3" sqref="A3"/>
    </sheetView>
  </sheetViews>
  <sheetFormatPr defaultColWidth="11.42578125" defaultRowHeight="14.45"/>
  <cols>
    <col min="1" max="1" width="18.140625" style="90" customWidth="1"/>
    <col min="2" max="2" width="19.7109375" style="91" bestFit="1" customWidth="1"/>
    <col min="3" max="3" width="15.140625" style="57" bestFit="1" customWidth="1"/>
    <col min="4" max="4" width="13.7109375" style="92" bestFit="1" customWidth="1"/>
    <col min="5" max="5" width="7.140625" style="92" customWidth="1"/>
    <col min="6" max="6" width="7.42578125" style="57" customWidth="1"/>
    <col min="7" max="7" width="12.7109375" style="57" bestFit="1" customWidth="1"/>
    <col min="8" max="8" width="12.7109375" style="58" bestFit="1" customWidth="1"/>
    <col min="9" max="9" width="18.7109375" style="131" customWidth="1"/>
    <col min="10" max="10" width="15.7109375" style="52" bestFit="1" customWidth="1"/>
    <col min="11" max="11" width="10.7109375" style="157" customWidth="1"/>
    <col min="12" max="13" width="8.7109375" customWidth="1"/>
    <col min="14" max="14" width="16.7109375" style="57" bestFit="1" customWidth="1"/>
    <col min="15" max="15" width="11.42578125" style="59"/>
  </cols>
  <sheetData>
    <row r="1" spans="1:16" ht="15" customHeight="1">
      <c r="C1" s="91"/>
      <c r="D1" s="57"/>
      <c r="F1" s="92"/>
      <c r="H1" s="57"/>
      <c r="I1" s="98"/>
      <c r="J1" s="130"/>
      <c r="K1" s="156"/>
      <c r="L1" s="100"/>
      <c r="M1" s="138"/>
      <c r="N1" s="115">
        <f>SUM(M3:M116)</f>
        <v>0</v>
      </c>
      <c r="O1" s="57"/>
      <c r="P1" s="59"/>
    </row>
    <row r="2" spans="1:16" ht="24.4" customHeight="1">
      <c r="A2" s="39" t="s">
        <v>45</v>
      </c>
      <c r="B2" s="39" t="s">
        <v>491</v>
      </c>
      <c r="C2" s="39" t="s">
        <v>47</v>
      </c>
      <c r="D2" s="39" t="s">
        <v>49</v>
      </c>
      <c r="E2" s="60" t="s">
        <v>50</v>
      </c>
      <c r="F2" s="60" t="s">
        <v>51</v>
      </c>
      <c r="G2" s="39" t="s">
        <v>52</v>
      </c>
      <c r="H2" s="40" t="s">
        <v>53</v>
      </c>
      <c r="I2" s="40" t="s">
        <v>54</v>
      </c>
      <c r="J2" s="101" t="s">
        <v>58</v>
      </c>
      <c r="K2" s="101" t="s">
        <v>766</v>
      </c>
      <c r="L2" s="137" t="s">
        <v>55</v>
      </c>
      <c r="M2" s="204"/>
      <c r="N2" s="462"/>
      <c r="O2" s="57"/>
      <c r="P2" s="59"/>
    </row>
    <row r="3" spans="1:16" ht="25.15" customHeight="1">
      <c r="A3" s="114" t="s">
        <v>2321</v>
      </c>
      <c r="B3" s="106" t="s">
        <v>2141</v>
      </c>
      <c r="C3" s="260" t="s">
        <v>2322</v>
      </c>
      <c r="D3" s="32" t="s">
        <v>2323</v>
      </c>
      <c r="E3" s="34">
        <v>46059</v>
      </c>
      <c r="F3" s="34">
        <v>46091</v>
      </c>
      <c r="G3" s="32" t="s">
        <v>89</v>
      </c>
      <c r="H3" s="32" t="s">
        <v>648</v>
      </c>
      <c r="I3" s="112" t="s">
        <v>105</v>
      </c>
      <c r="J3" s="81">
        <v>2250</v>
      </c>
      <c r="K3" s="143">
        <v>0</v>
      </c>
      <c r="L3" s="198">
        <f t="shared" ref="L3" si="0">SUM(J3:K3)</f>
        <v>2250</v>
      </c>
      <c r="M3" s="198">
        <v>0</v>
      </c>
      <c r="N3" s="462"/>
      <c r="O3" s="132" t="s">
        <v>56</v>
      </c>
      <c r="P3" s="133" t="s">
        <v>57</v>
      </c>
    </row>
    <row r="4" spans="1:16" ht="25.15" customHeight="1">
      <c r="O4" s="150">
        <v>46157</v>
      </c>
      <c r="P4" s="151">
        <v>2250</v>
      </c>
    </row>
    <row r="5" spans="1:16">
      <c r="N5" s="59"/>
      <c r="O5" s="150"/>
      <c r="P5" s="151"/>
    </row>
  </sheetData>
  <mergeCells count="1">
    <mergeCell ref="N2:N3"/>
  </mergeCells>
  <conditionalFormatting sqref="A1:A2">
    <cfRule type="duplicateValues" dxfId="1306" priority="5"/>
    <cfRule type="duplicateValues" dxfId="1305" priority="7"/>
    <cfRule type="duplicateValues" dxfId="1304" priority="8"/>
    <cfRule type="duplicateValues" dxfId="1303" priority="10"/>
    <cfRule type="duplicateValues" dxfId="1302" priority="11"/>
    <cfRule type="duplicateValues" dxfId="1301" priority="12"/>
    <cfRule type="duplicateValues" dxfId="1300" priority="13"/>
    <cfRule type="duplicateValues" dxfId="1299" priority="18"/>
  </conditionalFormatting>
  <conditionalFormatting sqref="A1:A1048576">
    <cfRule type="duplicateValues" dxfId="1298" priority="1"/>
    <cfRule type="duplicateValues" dxfId="1297" priority="2"/>
    <cfRule type="duplicateValues" dxfId="1296" priority="28"/>
    <cfRule type="duplicateValues" dxfId="1295" priority="29"/>
  </conditionalFormatting>
  <conditionalFormatting sqref="A3">
    <cfRule type="duplicateValues" dxfId="1294" priority="2026"/>
    <cfRule type="duplicateValues" dxfId="1293" priority="2027"/>
    <cfRule type="duplicateValues" dxfId="1292" priority="2028"/>
    <cfRule type="duplicateValues" dxfId="1291" priority="2029"/>
    <cfRule type="duplicateValues" dxfId="1290" priority="2030"/>
    <cfRule type="duplicateValues" dxfId="1289" priority="2031"/>
    <cfRule type="duplicateValues" dxfId="1288" priority="2032"/>
    <cfRule type="duplicateValues" dxfId="1287" priority="2033"/>
    <cfRule type="duplicateValues" dxfId="1286" priority="2034"/>
    <cfRule type="duplicateValues" dxfId="1285" priority="2035"/>
    <cfRule type="duplicateValues" dxfId="1284" priority="2036"/>
    <cfRule type="duplicateValues" dxfId="1283" priority="2037"/>
    <cfRule type="duplicateValues" dxfId="1282" priority="2038"/>
    <cfRule type="duplicateValues" dxfId="1281" priority="2039"/>
    <cfRule type="duplicateValues" dxfId="1280" priority="2040"/>
  </conditionalFormatting>
  <conditionalFormatting sqref="A4:A1048576 A1:A2">
    <cfRule type="duplicateValues" dxfId="1279" priority="21"/>
    <cfRule type="duplicateValues" dxfId="1278" priority="22"/>
    <cfRule type="duplicateValues" dxfId="1277" priority="23"/>
    <cfRule type="duplicateValues" dxfId="1276" priority="24"/>
    <cfRule type="duplicateValues" dxfId="1275" priority="25"/>
    <cfRule type="duplicateValues" dxfId="1274" priority="26"/>
    <cfRule type="duplicateValues" dxfId="1273" priority="27"/>
  </conditionalFormatting>
  <conditionalFormatting sqref="A4:A1048576">
    <cfRule type="duplicateValues" dxfId="1272" priority="30"/>
    <cfRule type="duplicateValues" dxfId="1271" priority="31"/>
    <cfRule type="duplicateValues" dxfId="1270" priority="32"/>
  </conditionalFormatting>
  <conditionalFormatting sqref="D1:D2">
    <cfRule type="duplicateValues" dxfId="1269" priority="6"/>
    <cfRule type="duplicateValues" dxfId="1268" priority="9"/>
    <cfRule type="duplicateValues" dxfId="1267" priority="14"/>
    <cfRule type="duplicateValues" dxfId="1266" priority="15"/>
    <cfRule type="duplicateValues" dxfId="1265" priority="16"/>
    <cfRule type="duplicateValues" dxfId="1264" priority="17"/>
    <cfRule type="duplicateValues" dxfId="1263" priority="19"/>
  </conditionalFormatting>
  <conditionalFormatting sqref="D1:D1048576 A1:A1048576">
    <cfRule type="duplicateValues" dxfId="1262" priority="20"/>
  </conditionalFormatting>
  <conditionalFormatting sqref="D1:D1048576">
    <cfRule type="duplicateValues" dxfId="1261" priority="3"/>
    <cfRule type="duplicateValues" dxfId="1260" priority="4"/>
  </conditionalFormatting>
  <conditionalFormatting sqref="D3">
    <cfRule type="duplicateValues" dxfId="1259" priority="2041"/>
    <cfRule type="duplicateValues" dxfId="1258" priority="2042"/>
    <cfRule type="duplicateValues" dxfId="1257" priority="2043"/>
    <cfRule type="duplicateValues" dxfId="1256" priority="2044"/>
    <cfRule type="duplicateValues" dxfId="1255" priority="2045"/>
    <cfRule type="duplicateValues" dxfId="1254" priority="2046"/>
    <cfRule type="duplicateValues" dxfId="1253" priority="2047"/>
    <cfRule type="duplicateValues" dxfId="1252" priority="2048"/>
    <cfRule type="duplicateValues" dxfId="1251" priority="2049"/>
    <cfRule type="duplicateValues" dxfId="1250" priority="2050"/>
    <cfRule type="duplicateValues" dxfId="1249" priority="2051"/>
  </conditionalFormatting>
  <conditionalFormatting sqref="D4:D1048576 D1:D2">
    <cfRule type="duplicateValues" dxfId="1248" priority="33"/>
    <cfRule type="duplicateValues" dxfId="1247" priority="34"/>
    <cfRule type="duplicateValues" dxfId="1246" priority="35"/>
    <cfRule type="duplicateValues" dxfId="1245" priority="36"/>
    <cfRule type="duplicateValues" dxfId="1244" priority="37"/>
    <cfRule type="duplicateValues" dxfId="1243" priority="38"/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F12B9-4953-4728-8FA3-542C19741AB9}">
  <sheetPr codeName="Hoja45">
    <tabColor theme="5" tint="0.39997558519241921"/>
  </sheetPr>
  <dimension ref="A1:P25"/>
  <sheetViews>
    <sheetView topLeftCell="A8" workbookViewId="0">
      <selection activeCell="A25" sqref="A25:XFD25"/>
    </sheetView>
  </sheetViews>
  <sheetFormatPr defaultColWidth="11.42578125" defaultRowHeight="14.45"/>
  <cols>
    <col min="1" max="1" width="18.140625" style="90" customWidth="1"/>
    <col min="2" max="2" width="19.7109375" style="91" bestFit="1" customWidth="1"/>
    <col min="3" max="3" width="15.140625" style="57" bestFit="1" customWidth="1"/>
    <col min="4" max="4" width="13.7109375" style="92" bestFit="1" customWidth="1"/>
    <col min="5" max="5" width="7.140625" style="92" customWidth="1"/>
    <col min="6" max="6" width="7.42578125" style="57" customWidth="1"/>
    <col min="7" max="7" width="12.7109375" style="57" bestFit="1" customWidth="1"/>
    <col min="8" max="8" width="12.7109375" style="58" bestFit="1" customWidth="1"/>
    <col min="9" max="9" width="18.7109375" style="131" customWidth="1"/>
    <col min="10" max="10" width="15.7109375" style="52" bestFit="1" customWidth="1"/>
    <col min="11" max="11" width="10.7109375" style="157" customWidth="1"/>
    <col min="12" max="12" width="9" bestFit="1" customWidth="1"/>
    <col min="13" max="13" width="8.7109375" customWidth="1"/>
    <col min="14" max="14" width="16.7109375" style="57" bestFit="1" customWidth="1"/>
    <col min="15" max="15" width="11.42578125" style="59"/>
  </cols>
  <sheetData>
    <row r="1" spans="1:16" ht="15" customHeight="1">
      <c r="C1" s="91"/>
      <c r="D1" s="57"/>
      <c r="F1" s="92"/>
      <c r="H1" s="57"/>
      <c r="I1" s="98"/>
      <c r="J1" s="130"/>
      <c r="K1" s="325"/>
      <c r="L1" s="326"/>
      <c r="M1" s="326"/>
      <c r="N1" s="115">
        <f>SUM(M3:M124)-SUM(P4:P24)</f>
        <v>66680</v>
      </c>
      <c r="O1" s="57"/>
      <c r="P1" s="59"/>
    </row>
    <row r="2" spans="1:16" ht="24.4" customHeight="1">
      <c r="A2" s="327" t="s">
        <v>45</v>
      </c>
      <c r="B2" s="327" t="s">
        <v>491</v>
      </c>
      <c r="C2" s="327" t="s">
        <v>47</v>
      </c>
      <c r="D2" s="327" t="s">
        <v>49</v>
      </c>
      <c r="E2" s="328" t="s">
        <v>50</v>
      </c>
      <c r="F2" s="328" t="s">
        <v>51</v>
      </c>
      <c r="G2" s="327" t="s">
        <v>52</v>
      </c>
      <c r="H2" s="329" t="s">
        <v>53</v>
      </c>
      <c r="I2" s="329" t="s">
        <v>54</v>
      </c>
      <c r="J2" s="330" t="s">
        <v>58</v>
      </c>
      <c r="K2" s="331" t="s">
        <v>766</v>
      </c>
      <c r="L2" s="332" t="s">
        <v>2324</v>
      </c>
      <c r="M2" s="333" t="s">
        <v>55</v>
      </c>
      <c r="N2" s="462"/>
      <c r="O2" s="57"/>
      <c r="P2" s="59"/>
    </row>
    <row r="3" spans="1:16" ht="25.15" customHeight="1">
      <c r="A3" s="345" t="s">
        <v>2325</v>
      </c>
      <c r="B3" s="244" t="s">
        <v>2326</v>
      </c>
      <c r="C3" s="346" t="s">
        <v>13</v>
      </c>
      <c r="D3" s="226" t="s">
        <v>2327</v>
      </c>
      <c r="E3" s="220">
        <v>46221</v>
      </c>
      <c r="F3" s="220">
        <v>46246</v>
      </c>
      <c r="G3" s="226" t="s">
        <v>1022</v>
      </c>
      <c r="H3" s="226" t="s">
        <v>66</v>
      </c>
      <c r="I3" s="347" t="s">
        <v>2328</v>
      </c>
      <c r="J3" s="348">
        <v>10300</v>
      </c>
      <c r="K3" s="349">
        <v>100</v>
      </c>
      <c r="L3" s="350">
        <v>110</v>
      </c>
      <c r="M3" s="350">
        <f>SUM(J3:L3)</f>
        <v>10510</v>
      </c>
      <c r="N3" s="462"/>
      <c r="O3" s="132" t="s">
        <v>56</v>
      </c>
      <c r="P3" s="133" t="s">
        <v>57</v>
      </c>
    </row>
    <row r="4" spans="1:16" ht="25.15" customHeight="1">
      <c r="A4" s="345" t="s">
        <v>2329</v>
      </c>
      <c r="B4" s="244" t="s">
        <v>2326</v>
      </c>
      <c r="C4" s="346" t="s">
        <v>13</v>
      </c>
      <c r="D4" s="226" t="s">
        <v>2330</v>
      </c>
      <c r="E4" s="220">
        <v>46227</v>
      </c>
      <c r="F4" s="220">
        <v>46243</v>
      </c>
      <c r="G4" s="226" t="s">
        <v>1022</v>
      </c>
      <c r="H4" s="226" t="s">
        <v>66</v>
      </c>
      <c r="I4" s="347" t="s">
        <v>105</v>
      </c>
      <c r="J4" s="348">
        <v>10100</v>
      </c>
      <c r="K4" s="349">
        <v>100</v>
      </c>
      <c r="L4" s="350">
        <v>110</v>
      </c>
      <c r="M4" s="350">
        <f t="shared" ref="M4:M8" si="0">SUM(J4:L4)</f>
        <v>10310</v>
      </c>
      <c r="O4" s="150">
        <v>46255</v>
      </c>
      <c r="P4" s="151">
        <v>60000</v>
      </c>
    </row>
    <row r="5" spans="1:16" ht="27.6">
      <c r="A5" s="345" t="s">
        <v>2331</v>
      </c>
      <c r="B5" s="244" t="s">
        <v>2326</v>
      </c>
      <c r="C5" s="346" t="s">
        <v>13</v>
      </c>
      <c r="D5" s="226" t="s">
        <v>2332</v>
      </c>
      <c r="E5" s="220">
        <v>46236</v>
      </c>
      <c r="F5" s="220">
        <v>46267</v>
      </c>
      <c r="G5" s="226" t="s">
        <v>149</v>
      </c>
      <c r="H5" s="226" t="s">
        <v>66</v>
      </c>
      <c r="I5" s="347" t="s">
        <v>105</v>
      </c>
      <c r="J5" s="348">
        <v>9800</v>
      </c>
      <c r="K5" s="349">
        <v>100</v>
      </c>
      <c r="L5" s="350">
        <v>30</v>
      </c>
      <c r="M5" s="350">
        <f t="shared" si="0"/>
        <v>9930</v>
      </c>
      <c r="N5" s="59"/>
      <c r="O5" s="150">
        <v>46269</v>
      </c>
      <c r="P5" s="151">
        <v>50000</v>
      </c>
    </row>
    <row r="6" spans="1:16" ht="27.6">
      <c r="A6" s="345" t="s">
        <v>2333</v>
      </c>
      <c r="B6" s="244" t="s">
        <v>2326</v>
      </c>
      <c r="C6" s="346" t="s">
        <v>13</v>
      </c>
      <c r="D6" s="226" t="s">
        <v>2334</v>
      </c>
      <c r="E6" s="220">
        <v>46236</v>
      </c>
      <c r="F6" s="220">
        <v>46259</v>
      </c>
      <c r="G6" s="226" t="s">
        <v>1022</v>
      </c>
      <c r="H6" s="226" t="s">
        <v>66</v>
      </c>
      <c r="I6" s="347" t="s">
        <v>105</v>
      </c>
      <c r="J6" s="348">
        <v>9800</v>
      </c>
      <c r="K6" s="349">
        <v>100</v>
      </c>
      <c r="L6" s="350">
        <v>30</v>
      </c>
      <c r="M6" s="350">
        <f t="shared" si="0"/>
        <v>9930</v>
      </c>
      <c r="O6" s="150">
        <v>46283</v>
      </c>
      <c r="P6" s="151">
        <v>40000</v>
      </c>
    </row>
    <row r="7" spans="1:16">
      <c r="A7" s="345" t="s">
        <v>2335</v>
      </c>
      <c r="B7" s="244" t="s">
        <v>2326</v>
      </c>
      <c r="C7" s="346" t="s">
        <v>13</v>
      </c>
      <c r="D7" s="226" t="s">
        <v>2336</v>
      </c>
      <c r="E7" s="220">
        <v>46236</v>
      </c>
      <c r="F7" s="220">
        <v>46261</v>
      </c>
      <c r="G7" s="226" t="s">
        <v>89</v>
      </c>
      <c r="H7" s="226" t="s">
        <v>66</v>
      </c>
      <c r="I7" s="347" t="s">
        <v>2337</v>
      </c>
      <c r="J7" s="348">
        <v>9100</v>
      </c>
      <c r="K7" s="349">
        <v>100</v>
      </c>
      <c r="L7" s="350">
        <v>0</v>
      </c>
      <c r="M7" s="350">
        <f t="shared" si="0"/>
        <v>9200</v>
      </c>
    </row>
    <row r="8" spans="1:16">
      <c r="A8" s="345" t="s">
        <v>2338</v>
      </c>
      <c r="B8" s="244" t="s">
        <v>2326</v>
      </c>
      <c r="C8" s="346" t="s">
        <v>13</v>
      </c>
      <c r="D8" s="226" t="s">
        <v>2339</v>
      </c>
      <c r="E8" s="220">
        <v>46241</v>
      </c>
      <c r="F8" s="220">
        <v>46266</v>
      </c>
      <c r="G8" s="226" t="s">
        <v>149</v>
      </c>
      <c r="H8" s="226" t="s">
        <v>66</v>
      </c>
      <c r="I8" s="347" t="s">
        <v>2328</v>
      </c>
      <c r="J8" s="348">
        <v>9400</v>
      </c>
      <c r="K8" s="349">
        <v>100</v>
      </c>
      <c r="L8" s="350">
        <v>0</v>
      </c>
      <c r="M8" s="350">
        <f t="shared" si="0"/>
        <v>9500</v>
      </c>
    </row>
    <row r="9" spans="1:16">
      <c r="A9" s="345" t="s">
        <v>2340</v>
      </c>
      <c r="B9" s="244" t="s">
        <v>2326</v>
      </c>
      <c r="C9" s="346" t="s">
        <v>13</v>
      </c>
      <c r="D9" s="226" t="s">
        <v>2341</v>
      </c>
      <c r="E9" s="220">
        <v>46248</v>
      </c>
      <c r="F9" s="220">
        <v>46273</v>
      </c>
      <c r="G9" s="226" t="s">
        <v>149</v>
      </c>
      <c r="H9" s="226" t="s">
        <v>66</v>
      </c>
      <c r="I9" s="347" t="s">
        <v>2328</v>
      </c>
      <c r="J9" s="348">
        <v>9400</v>
      </c>
      <c r="K9" s="349">
        <v>100</v>
      </c>
      <c r="L9" s="350">
        <v>30</v>
      </c>
      <c r="M9" s="350">
        <f t="shared" ref="M9:M24" si="1">SUM(J9:L9)</f>
        <v>9530</v>
      </c>
    </row>
    <row r="10" spans="1:16">
      <c r="A10" s="345" t="s">
        <v>2342</v>
      </c>
      <c r="B10" s="244" t="s">
        <v>2326</v>
      </c>
      <c r="C10" s="346" t="s">
        <v>13</v>
      </c>
      <c r="D10" s="226" t="s">
        <v>2343</v>
      </c>
      <c r="E10" s="220">
        <v>46252</v>
      </c>
      <c r="F10" s="220">
        <v>46290</v>
      </c>
      <c r="G10" s="226" t="s">
        <v>1022</v>
      </c>
      <c r="H10" s="226" t="s">
        <v>2344</v>
      </c>
      <c r="I10" s="347" t="s">
        <v>2337</v>
      </c>
      <c r="J10" s="348">
        <v>8150</v>
      </c>
      <c r="K10" s="349">
        <v>100</v>
      </c>
      <c r="L10" s="350">
        <v>100</v>
      </c>
      <c r="M10" s="350">
        <f t="shared" si="1"/>
        <v>8350</v>
      </c>
    </row>
    <row r="11" spans="1:16">
      <c r="A11" s="345" t="s">
        <v>2345</v>
      </c>
      <c r="B11" s="244" t="s">
        <v>2326</v>
      </c>
      <c r="C11" s="346" t="s">
        <v>13</v>
      </c>
      <c r="D11" s="226" t="s">
        <v>2346</v>
      </c>
      <c r="E11" s="220">
        <v>46248</v>
      </c>
      <c r="F11" s="220">
        <v>46273</v>
      </c>
      <c r="G11" s="226" t="s">
        <v>149</v>
      </c>
      <c r="H11" s="226" t="s">
        <v>66</v>
      </c>
      <c r="I11" s="347" t="s">
        <v>2328</v>
      </c>
      <c r="J11" s="348">
        <v>9400</v>
      </c>
      <c r="K11" s="349">
        <v>100</v>
      </c>
      <c r="L11" s="350">
        <v>100</v>
      </c>
      <c r="M11" s="350">
        <f t="shared" si="1"/>
        <v>9600</v>
      </c>
    </row>
    <row r="12" spans="1:16">
      <c r="A12" s="345" t="s">
        <v>2347</v>
      </c>
      <c r="B12" s="244" t="s">
        <v>2326</v>
      </c>
      <c r="C12" s="346" t="s">
        <v>13</v>
      </c>
      <c r="D12" s="226" t="s">
        <v>2348</v>
      </c>
      <c r="E12" s="220">
        <v>46250</v>
      </c>
      <c r="F12" s="220">
        <v>46275</v>
      </c>
      <c r="G12" s="226" t="s">
        <v>89</v>
      </c>
      <c r="H12" s="226" t="s">
        <v>66</v>
      </c>
      <c r="I12" s="347" t="s">
        <v>2337</v>
      </c>
      <c r="J12" s="348">
        <v>9100</v>
      </c>
      <c r="K12" s="349">
        <v>100</v>
      </c>
      <c r="L12" s="350">
        <v>0</v>
      </c>
      <c r="M12" s="350">
        <f t="shared" si="1"/>
        <v>9200</v>
      </c>
    </row>
    <row r="13" spans="1:16">
      <c r="A13" s="345" t="s">
        <v>2349</v>
      </c>
      <c r="B13" s="244" t="s">
        <v>2326</v>
      </c>
      <c r="C13" s="346" t="s">
        <v>13</v>
      </c>
      <c r="D13" s="226" t="s">
        <v>2350</v>
      </c>
      <c r="E13" s="220">
        <v>46241</v>
      </c>
      <c r="F13" s="220">
        <v>46266</v>
      </c>
      <c r="G13" s="226" t="s">
        <v>1022</v>
      </c>
      <c r="H13" s="226" t="s">
        <v>66</v>
      </c>
      <c r="I13" s="347" t="s">
        <v>2337</v>
      </c>
      <c r="J13" s="348">
        <v>8850</v>
      </c>
      <c r="K13" s="349">
        <v>100</v>
      </c>
      <c r="L13" s="350">
        <v>0</v>
      </c>
      <c r="M13" s="350">
        <f t="shared" si="1"/>
        <v>8950</v>
      </c>
    </row>
    <row r="14" spans="1:16">
      <c r="A14" s="345" t="s">
        <v>2351</v>
      </c>
      <c r="B14" s="244" t="s">
        <v>2326</v>
      </c>
      <c r="C14" s="346" t="s">
        <v>13</v>
      </c>
      <c r="D14" s="226" t="s">
        <v>2352</v>
      </c>
      <c r="E14" s="220">
        <v>46241</v>
      </c>
      <c r="F14" s="220">
        <v>46266</v>
      </c>
      <c r="G14" s="226" t="s">
        <v>1022</v>
      </c>
      <c r="H14" s="226" t="s">
        <v>66</v>
      </c>
      <c r="I14" s="347" t="s">
        <v>2328</v>
      </c>
      <c r="J14" s="348">
        <v>8700</v>
      </c>
      <c r="K14" s="349">
        <v>100</v>
      </c>
      <c r="L14" s="350">
        <v>0</v>
      </c>
      <c r="M14" s="350">
        <f t="shared" si="1"/>
        <v>8800</v>
      </c>
    </row>
    <row r="15" spans="1:16">
      <c r="A15" s="345" t="s">
        <v>2353</v>
      </c>
      <c r="B15" s="244" t="s">
        <v>2326</v>
      </c>
      <c r="C15" s="346" t="s">
        <v>13</v>
      </c>
      <c r="D15" s="226" t="s">
        <v>2354</v>
      </c>
      <c r="E15" s="220">
        <v>46259</v>
      </c>
      <c r="F15" s="220">
        <v>46299</v>
      </c>
      <c r="G15" s="226" t="s">
        <v>89</v>
      </c>
      <c r="H15" s="226" t="s">
        <v>2355</v>
      </c>
      <c r="I15" s="347" t="s">
        <v>2356</v>
      </c>
      <c r="J15" s="348">
        <v>6550</v>
      </c>
      <c r="K15" s="349">
        <v>100</v>
      </c>
      <c r="L15" s="350">
        <v>100</v>
      </c>
      <c r="M15" s="350">
        <f t="shared" si="1"/>
        <v>6750</v>
      </c>
    </row>
    <row r="16" spans="1:16">
      <c r="A16" s="345" t="s">
        <v>2357</v>
      </c>
      <c r="B16" s="244" t="s">
        <v>2326</v>
      </c>
      <c r="C16" s="346" t="s">
        <v>13</v>
      </c>
      <c r="D16" s="226" t="s">
        <v>2358</v>
      </c>
      <c r="E16" s="220">
        <v>46256</v>
      </c>
      <c r="F16" s="220">
        <v>46288</v>
      </c>
      <c r="G16" s="226" t="s">
        <v>1022</v>
      </c>
      <c r="H16" s="226" t="s">
        <v>66</v>
      </c>
      <c r="I16" s="347" t="s">
        <v>2356</v>
      </c>
      <c r="J16" s="348">
        <v>9400</v>
      </c>
      <c r="K16" s="349">
        <v>100</v>
      </c>
      <c r="L16" s="350">
        <v>0</v>
      </c>
      <c r="M16" s="350">
        <f t="shared" si="1"/>
        <v>9500</v>
      </c>
    </row>
    <row r="17" spans="1:14">
      <c r="A17" s="345" t="s">
        <v>2359</v>
      </c>
      <c r="B17" s="244" t="s">
        <v>2326</v>
      </c>
      <c r="C17" s="346" t="s">
        <v>13</v>
      </c>
      <c r="D17" s="226" t="s">
        <v>2360</v>
      </c>
      <c r="E17" s="220">
        <v>46250</v>
      </c>
      <c r="F17" s="220">
        <v>46280</v>
      </c>
      <c r="G17" s="226" t="s">
        <v>89</v>
      </c>
      <c r="H17" s="226" t="s">
        <v>66</v>
      </c>
      <c r="I17" s="347" t="s">
        <v>2337</v>
      </c>
      <c r="J17" s="348">
        <v>9100</v>
      </c>
      <c r="K17" s="349">
        <v>100</v>
      </c>
      <c r="L17" s="350">
        <v>110</v>
      </c>
      <c r="M17" s="350">
        <f t="shared" si="1"/>
        <v>9310</v>
      </c>
    </row>
    <row r="18" spans="1:14">
      <c r="A18" s="345" t="s">
        <v>2361</v>
      </c>
      <c r="B18" s="244" t="s">
        <v>2326</v>
      </c>
      <c r="C18" s="346" t="s">
        <v>13</v>
      </c>
      <c r="D18" s="226" t="s">
        <v>2362</v>
      </c>
      <c r="E18" s="220">
        <v>46256</v>
      </c>
      <c r="F18" s="220">
        <v>46288</v>
      </c>
      <c r="G18" s="226" t="s">
        <v>1022</v>
      </c>
      <c r="H18" s="226" t="s">
        <v>66</v>
      </c>
      <c r="I18" s="347" t="s">
        <v>2356</v>
      </c>
      <c r="J18" s="348">
        <v>9400</v>
      </c>
      <c r="K18" s="349">
        <v>100</v>
      </c>
      <c r="L18" s="350">
        <v>30</v>
      </c>
      <c r="M18" s="350">
        <f t="shared" si="1"/>
        <v>9530</v>
      </c>
    </row>
    <row r="19" spans="1:14">
      <c r="A19" s="360" t="s">
        <v>2363</v>
      </c>
      <c r="B19" s="361" t="s">
        <v>2326</v>
      </c>
      <c r="C19" s="362" t="s">
        <v>13</v>
      </c>
      <c r="D19" s="264" t="s">
        <v>2364</v>
      </c>
      <c r="E19" s="105">
        <v>46263</v>
      </c>
      <c r="F19" s="105">
        <v>46288</v>
      </c>
      <c r="G19" s="264" t="s">
        <v>1022</v>
      </c>
      <c r="H19" s="264" t="s">
        <v>66</v>
      </c>
      <c r="I19" s="363" t="s">
        <v>2356</v>
      </c>
      <c r="J19" s="364">
        <v>9400</v>
      </c>
      <c r="K19" s="365">
        <v>100</v>
      </c>
      <c r="L19" s="366">
        <v>30</v>
      </c>
      <c r="M19" s="366">
        <f t="shared" si="1"/>
        <v>9530</v>
      </c>
    </row>
    <row r="20" spans="1:14">
      <c r="A20" s="360" t="s">
        <v>2365</v>
      </c>
      <c r="B20" s="361" t="s">
        <v>2326</v>
      </c>
      <c r="C20" s="362" t="s">
        <v>13</v>
      </c>
      <c r="D20" s="264" t="s">
        <v>2366</v>
      </c>
      <c r="E20" s="105">
        <v>46268</v>
      </c>
      <c r="F20" s="105">
        <v>46302</v>
      </c>
      <c r="G20" s="264" t="s">
        <v>1022</v>
      </c>
      <c r="H20" s="264" t="s">
        <v>645</v>
      </c>
      <c r="I20" s="363" t="s">
        <v>2328</v>
      </c>
      <c r="J20" s="364">
        <v>10350</v>
      </c>
      <c r="K20" s="365">
        <v>100</v>
      </c>
      <c r="L20" s="366">
        <v>200</v>
      </c>
      <c r="M20" s="366">
        <f t="shared" si="1"/>
        <v>10650</v>
      </c>
    </row>
    <row r="21" spans="1:14" ht="27.6">
      <c r="A21" s="378" t="s">
        <v>2367</v>
      </c>
      <c r="B21" s="379" t="s">
        <v>2326</v>
      </c>
      <c r="C21" s="380" t="s">
        <v>13</v>
      </c>
      <c r="D21" s="381" t="s">
        <v>2368</v>
      </c>
      <c r="E21" s="382">
        <v>46255</v>
      </c>
      <c r="F21" s="382">
        <v>46291</v>
      </c>
      <c r="G21" s="381" t="s">
        <v>89</v>
      </c>
      <c r="H21" s="381" t="s">
        <v>66</v>
      </c>
      <c r="I21" s="383" t="s">
        <v>105</v>
      </c>
      <c r="J21" s="384">
        <v>7350</v>
      </c>
      <c r="K21" s="385">
        <v>100</v>
      </c>
      <c r="L21" s="386">
        <v>0</v>
      </c>
      <c r="M21" s="386">
        <f t="shared" si="1"/>
        <v>7450</v>
      </c>
    </row>
    <row r="22" spans="1:14">
      <c r="A22" s="378" t="s">
        <v>2369</v>
      </c>
      <c r="B22" s="379" t="s">
        <v>2326</v>
      </c>
      <c r="C22" s="380" t="s">
        <v>13</v>
      </c>
      <c r="D22" s="381" t="s">
        <v>2370</v>
      </c>
      <c r="E22" s="382">
        <v>46273</v>
      </c>
      <c r="F22" s="382">
        <v>46291</v>
      </c>
      <c r="G22" s="381" t="s">
        <v>1785</v>
      </c>
      <c r="H22" s="381" t="s">
        <v>240</v>
      </c>
      <c r="I22" s="383" t="s">
        <v>1364</v>
      </c>
      <c r="J22" s="384">
        <v>6300</v>
      </c>
      <c r="K22" s="385">
        <v>100</v>
      </c>
      <c r="L22" s="386">
        <v>0</v>
      </c>
      <c r="M22" s="386">
        <f t="shared" si="1"/>
        <v>6400</v>
      </c>
      <c r="N22" s="392"/>
    </row>
    <row r="23" spans="1:14">
      <c r="A23" s="378" t="s">
        <v>2371</v>
      </c>
      <c r="B23" s="379" t="s">
        <v>2326</v>
      </c>
      <c r="C23" s="380" t="s">
        <v>13</v>
      </c>
      <c r="D23" s="381" t="s">
        <v>2372</v>
      </c>
      <c r="E23" s="382">
        <v>46290</v>
      </c>
      <c r="F23" s="382">
        <v>46315</v>
      </c>
      <c r="G23" s="381" t="s">
        <v>1022</v>
      </c>
      <c r="H23" s="381" t="s">
        <v>510</v>
      </c>
      <c r="I23" s="383" t="s">
        <v>2328</v>
      </c>
      <c r="J23" s="384">
        <v>11150</v>
      </c>
      <c r="K23" s="385">
        <v>100</v>
      </c>
      <c r="L23" s="386">
        <v>200</v>
      </c>
      <c r="M23" s="386">
        <f t="shared" si="1"/>
        <v>11450</v>
      </c>
      <c r="N23" s="392"/>
    </row>
    <row r="24" spans="1:14">
      <c r="A24" s="378" t="s">
        <v>2373</v>
      </c>
      <c r="B24" s="379" t="s">
        <v>2326</v>
      </c>
      <c r="C24" s="380" t="s">
        <v>13</v>
      </c>
      <c r="D24" s="381" t="s">
        <v>2374</v>
      </c>
      <c r="E24" s="382">
        <v>46276</v>
      </c>
      <c r="F24" s="382">
        <v>46316</v>
      </c>
      <c r="G24" s="381" t="s">
        <v>1022</v>
      </c>
      <c r="H24" s="381" t="s">
        <v>645</v>
      </c>
      <c r="I24" s="383" t="s">
        <v>2328</v>
      </c>
      <c r="J24" s="384">
        <v>10550</v>
      </c>
      <c r="K24" s="385">
        <v>100</v>
      </c>
      <c r="L24" s="386">
        <v>0</v>
      </c>
      <c r="M24" s="386">
        <f t="shared" si="1"/>
        <v>10650</v>
      </c>
      <c r="N24" s="392"/>
    </row>
    <row r="25" spans="1:14">
      <c r="A25" s="439" t="s">
        <v>2375</v>
      </c>
      <c r="B25" s="440" t="s">
        <v>2326</v>
      </c>
      <c r="C25" s="441" t="s">
        <v>13</v>
      </c>
      <c r="D25" s="442" t="s">
        <v>2376</v>
      </c>
      <c r="E25" s="443">
        <v>46290</v>
      </c>
      <c r="F25" s="443">
        <v>46344</v>
      </c>
      <c r="G25" s="442" t="s">
        <v>1022</v>
      </c>
      <c r="H25" s="442" t="s">
        <v>510</v>
      </c>
      <c r="I25" s="444" t="s">
        <v>2328</v>
      </c>
      <c r="J25" s="445">
        <v>11350</v>
      </c>
      <c r="K25" s="446">
        <v>100</v>
      </c>
      <c r="L25" s="447">
        <v>200</v>
      </c>
      <c r="M25" s="447">
        <f>SUM(J25:L25)</f>
        <v>11650</v>
      </c>
      <c r="N25" s="392"/>
    </row>
  </sheetData>
  <mergeCells count="1">
    <mergeCell ref="N2:N3"/>
  </mergeCells>
  <conditionalFormatting sqref="A1:A2">
    <cfRule type="duplicateValues" dxfId="1242" priority="5"/>
    <cfRule type="duplicateValues" dxfId="1241" priority="7"/>
    <cfRule type="duplicateValues" dxfId="1240" priority="8"/>
    <cfRule type="duplicateValues" dxfId="1239" priority="10"/>
    <cfRule type="duplicateValues" dxfId="1238" priority="11"/>
    <cfRule type="duplicateValues" dxfId="1237" priority="12"/>
    <cfRule type="duplicateValues" dxfId="1236" priority="13"/>
    <cfRule type="duplicateValues" dxfId="1235" priority="18"/>
  </conditionalFormatting>
  <conditionalFormatting sqref="A1:A1048576">
    <cfRule type="duplicateValues" dxfId="1234" priority="1"/>
    <cfRule type="duplicateValues" dxfId="1233" priority="2"/>
    <cfRule type="duplicateValues" dxfId="1232" priority="28"/>
    <cfRule type="duplicateValues" dxfId="1231" priority="29"/>
  </conditionalFormatting>
  <conditionalFormatting sqref="A3:A25">
    <cfRule type="duplicateValues" dxfId="1230" priority="39"/>
    <cfRule type="duplicateValues" dxfId="1229" priority="40"/>
    <cfRule type="duplicateValues" dxfId="1228" priority="41"/>
    <cfRule type="duplicateValues" dxfId="1227" priority="42"/>
    <cfRule type="duplicateValues" dxfId="1226" priority="43"/>
    <cfRule type="duplicateValues" dxfId="1225" priority="44"/>
    <cfRule type="duplicateValues" dxfId="1224" priority="45"/>
    <cfRule type="duplicateValues" dxfId="1223" priority="46"/>
    <cfRule type="duplicateValues" dxfId="1222" priority="47"/>
    <cfRule type="duplicateValues" dxfId="1221" priority="48"/>
    <cfRule type="duplicateValues" dxfId="1220" priority="49"/>
    <cfRule type="duplicateValues" dxfId="1219" priority="50"/>
    <cfRule type="duplicateValues" dxfId="1218" priority="51"/>
    <cfRule type="duplicateValues" dxfId="1217" priority="52"/>
    <cfRule type="duplicateValues" dxfId="1216" priority="53"/>
  </conditionalFormatting>
  <conditionalFormatting sqref="A26:A1048576 A1:A2">
    <cfRule type="duplicateValues" dxfId="1215" priority="21"/>
    <cfRule type="duplicateValues" dxfId="1214" priority="22"/>
    <cfRule type="duplicateValues" dxfId="1213" priority="23"/>
    <cfRule type="duplicateValues" dxfId="1212" priority="24"/>
    <cfRule type="duplicateValues" dxfId="1211" priority="25"/>
    <cfRule type="duplicateValues" dxfId="1210" priority="26"/>
    <cfRule type="duplicateValues" dxfId="1209" priority="27"/>
  </conditionalFormatting>
  <conditionalFormatting sqref="A26:A1048576">
    <cfRule type="duplicateValues" dxfId="1208" priority="30"/>
    <cfRule type="duplicateValues" dxfId="1207" priority="31"/>
    <cfRule type="duplicateValues" dxfId="1206" priority="32"/>
  </conditionalFormatting>
  <conditionalFormatting sqref="D1:D2">
    <cfRule type="duplicateValues" dxfId="1205" priority="6"/>
    <cfRule type="duplicateValues" dxfId="1204" priority="9"/>
    <cfRule type="duplicateValues" dxfId="1203" priority="14"/>
    <cfRule type="duplicateValues" dxfId="1202" priority="15"/>
    <cfRule type="duplicateValues" dxfId="1201" priority="16"/>
    <cfRule type="duplicateValues" dxfId="1200" priority="17"/>
    <cfRule type="duplicateValues" dxfId="1199" priority="19"/>
  </conditionalFormatting>
  <conditionalFormatting sqref="D1:D1048576 A1:A1048576">
    <cfRule type="duplicateValues" dxfId="1198" priority="20"/>
  </conditionalFormatting>
  <conditionalFormatting sqref="D1:D1048576">
    <cfRule type="duplicateValues" dxfId="1197" priority="3"/>
    <cfRule type="duplicateValues" dxfId="1196" priority="4"/>
  </conditionalFormatting>
  <conditionalFormatting sqref="D3:D25">
    <cfRule type="duplicateValues" dxfId="1195" priority="54"/>
    <cfRule type="duplicateValues" dxfId="1194" priority="55"/>
    <cfRule type="duplicateValues" dxfId="1193" priority="56"/>
    <cfRule type="duplicateValues" dxfId="1192" priority="57"/>
    <cfRule type="duplicateValues" dxfId="1191" priority="58"/>
    <cfRule type="duplicateValues" dxfId="1190" priority="59"/>
    <cfRule type="duplicateValues" dxfId="1189" priority="60"/>
    <cfRule type="duplicateValues" dxfId="1188" priority="61"/>
    <cfRule type="duplicateValues" dxfId="1187" priority="62"/>
    <cfRule type="duplicateValues" dxfId="1186" priority="63"/>
    <cfRule type="duplicateValues" dxfId="1185" priority="64"/>
  </conditionalFormatting>
  <conditionalFormatting sqref="D26:D1048576 D1:D2">
    <cfRule type="duplicateValues" dxfId="1184" priority="33"/>
    <cfRule type="duplicateValues" dxfId="1183" priority="34"/>
    <cfRule type="duplicateValues" dxfId="1182" priority="35"/>
    <cfRule type="duplicateValues" dxfId="1181" priority="36"/>
    <cfRule type="duplicateValues" dxfId="1180" priority="37"/>
    <cfRule type="duplicateValues" dxfId="1179" priority="38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16B19-AC4C-47EC-A216-AE985BFD7EEF}">
  <sheetPr codeName="Hoja39"/>
  <dimension ref="A1:W831"/>
  <sheetViews>
    <sheetView topLeftCell="A38" workbookViewId="0">
      <selection activeCell="A46" sqref="A46:XFD46"/>
    </sheetView>
  </sheetViews>
  <sheetFormatPr defaultColWidth="11.42578125" defaultRowHeight="14.45"/>
  <cols>
    <col min="1" max="1" width="18.140625" style="90" customWidth="1"/>
    <col min="2" max="2" width="19.7109375" style="91" bestFit="1" customWidth="1"/>
    <col min="3" max="3" width="24.42578125" style="57" bestFit="1" customWidth="1"/>
    <col min="4" max="4" width="13.7109375" style="92" bestFit="1" customWidth="1"/>
    <col min="5" max="5" width="13.140625" style="92" customWidth="1"/>
    <col min="6" max="6" width="7.42578125" style="57" customWidth="1"/>
    <col min="7" max="7" width="12.7109375" style="57" bestFit="1" customWidth="1"/>
    <col min="8" max="8" width="12.7109375" style="58" bestFit="1" customWidth="1"/>
    <col min="9" max="9" width="18.7109375" style="131" customWidth="1"/>
    <col min="10" max="10" width="15.7109375" style="52" bestFit="1" customWidth="1"/>
    <col min="11" max="11" width="15.7109375" style="52" customWidth="1"/>
    <col min="12" max="13" width="10.7109375" style="157" customWidth="1"/>
    <col min="14" max="15" width="8.7109375" customWidth="1"/>
    <col min="16" max="16" width="16.7109375" style="57" bestFit="1" customWidth="1"/>
    <col min="17" max="17" width="11.42578125" style="59"/>
    <col min="23" max="23" width="11.42578125" hidden="1" customWidth="1"/>
  </cols>
  <sheetData>
    <row r="1" spans="1:23" ht="21">
      <c r="C1" s="91"/>
      <c r="D1" s="57"/>
      <c r="F1" s="92"/>
      <c r="H1" s="57"/>
      <c r="I1" s="98"/>
      <c r="J1" s="130"/>
      <c r="K1" s="130"/>
      <c r="L1" s="156"/>
      <c r="M1" s="156"/>
      <c r="N1" s="100"/>
      <c r="O1" s="138"/>
      <c r="P1" s="115">
        <f>SUM(N3:N86)-SUM(R4:R22)</f>
        <v>92057</v>
      </c>
      <c r="Q1" s="57"/>
      <c r="R1" s="59"/>
    </row>
    <row r="2" spans="1:23" ht="27.6">
      <c r="A2" s="39" t="s">
        <v>45</v>
      </c>
      <c r="B2" s="39" t="s">
        <v>491</v>
      </c>
      <c r="C2" s="39" t="s">
        <v>47</v>
      </c>
      <c r="D2" s="39" t="s">
        <v>49</v>
      </c>
      <c r="E2" s="60" t="s">
        <v>50</v>
      </c>
      <c r="F2" s="60" t="s">
        <v>51</v>
      </c>
      <c r="G2" s="39" t="s">
        <v>52</v>
      </c>
      <c r="H2" s="40" t="s">
        <v>53</v>
      </c>
      <c r="I2" s="40" t="s">
        <v>54</v>
      </c>
      <c r="J2" s="101" t="s">
        <v>58</v>
      </c>
      <c r="K2" s="54" t="s">
        <v>556</v>
      </c>
      <c r="L2" s="272" t="s">
        <v>766</v>
      </c>
      <c r="M2" s="272" t="s">
        <v>2377</v>
      </c>
      <c r="N2" s="137" t="s">
        <v>55</v>
      </c>
      <c r="O2" s="204"/>
      <c r="P2"/>
      <c r="Q2" s="57"/>
      <c r="R2" s="59"/>
    </row>
    <row r="3" spans="1:23" ht="27.6">
      <c r="A3" s="210" t="s">
        <v>2378</v>
      </c>
      <c r="B3" s="211" t="s">
        <v>1717</v>
      </c>
      <c r="C3" s="308" t="s">
        <v>2379</v>
      </c>
      <c r="D3" s="7" t="s">
        <v>2380</v>
      </c>
      <c r="E3" s="9">
        <v>46148</v>
      </c>
      <c r="F3" s="9">
        <v>46173</v>
      </c>
      <c r="G3" s="7" t="s">
        <v>149</v>
      </c>
      <c r="H3" s="7" t="s">
        <v>66</v>
      </c>
      <c r="I3" s="227" t="s">
        <v>105</v>
      </c>
      <c r="J3" s="12">
        <v>3000</v>
      </c>
      <c r="K3" s="12">
        <v>0</v>
      </c>
      <c r="L3" s="258">
        <v>100</v>
      </c>
      <c r="M3" s="258">
        <v>0</v>
      </c>
      <c r="N3" s="247">
        <f t="shared" ref="N3:N18" si="0">J3+K3+L3+M3</f>
        <v>3100</v>
      </c>
      <c r="O3" s="247">
        <v>0</v>
      </c>
      <c r="P3" s="1"/>
      <c r="Q3" s="132" t="s">
        <v>56</v>
      </c>
      <c r="R3" s="133" t="s">
        <v>57</v>
      </c>
      <c r="W3" t="str">
        <f>A3</f>
        <v>JISA-26044</v>
      </c>
    </row>
    <row r="4" spans="1:23" ht="27.6">
      <c r="A4" s="210" t="s">
        <v>2381</v>
      </c>
      <c r="B4" s="211" t="s">
        <v>1717</v>
      </c>
      <c r="C4" s="308" t="s">
        <v>2379</v>
      </c>
      <c r="D4" s="7" t="s">
        <v>2382</v>
      </c>
      <c r="E4" s="9">
        <v>46148</v>
      </c>
      <c r="F4" s="9">
        <v>46173</v>
      </c>
      <c r="G4" s="7" t="s">
        <v>149</v>
      </c>
      <c r="H4" s="7" t="s">
        <v>66</v>
      </c>
      <c r="I4" s="227" t="s">
        <v>105</v>
      </c>
      <c r="J4" s="12">
        <v>3000</v>
      </c>
      <c r="K4" s="12">
        <v>0</v>
      </c>
      <c r="L4" s="258">
        <v>100</v>
      </c>
      <c r="M4" s="258">
        <v>0</v>
      </c>
      <c r="N4" s="247">
        <f t="shared" si="0"/>
        <v>3100</v>
      </c>
      <c r="O4" s="247">
        <v>0</v>
      </c>
      <c r="P4" s="6"/>
      <c r="Q4" s="74">
        <v>46244</v>
      </c>
      <c r="R4" s="76">
        <v>5250</v>
      </c>
      <c r="W4" t="str">
        <f t="shared" ref="W4:W67" si="1">A4</f>
        <v>JISA-26046</v>
      </c>
    </row>
    <row r="5" spans="1:23" ht="27.6">
      <c r="A5" s="210" t="s">
        <v>2383</v>
      </c>
      <c r="B5" s="211" t="s">
        <v>1717</v>
      </c>
      <c r="C5" s="308" t="s">
        <v>2379</v>
      </c>
      <c r="D5" s="7" t="s">
        <v>2384</v>
      </c>
      <c r="E5" s="9">
        <v>46160</v>
      </c>
      <c r="F5" s="9">
        <v>46187</v>
      </c>
      <c r="G5" s="7" t="s">
        <v>89</v>
      </c>
      <c r="H5" s="7" t="s">
        <v>66</v>
      </c>
      <c r="I5" s="227" t="s">
        <v>105</v>
      </c>
      <c r="J5" s="12">
        <v>4200</v>
      </c>
      <c r="K5" s="12">
        <v>0</v>
      </c>
      <c r="L5" s="258">
        <v>100</v>
      </c>
      <c r="M5" s="258">
        <v>0</v>
      </c>
      <c r="N5" s="247">
        <f t="shared" si="0"/>
        <v>4300</v>
      </c>
      <c r="O5" s="247">
        <v>0</v>
      </c>
      <c r="P5" s="6"/>
      <c r="Q5" s="74">
        <v>46246</v>
      </c>
      <c r="R5" s="76">
        <v>6050</v>
      </c>
      <c r="W5" t="str">
        <f t="shared" si="1"/>
        <v>JISA-26055</v>
      </c>
    </row>
    <row r="6" spans="1:23" ht="27.6">
      <c r="A6" s="210" t="s">
        <v>2385</v>
      </c>
      <c r="B6" s="211" t="s">
        <v>1717</v>
      </c>
      <c r="C6" s="308" t="s">
        <v>2379</v>
      </c>
      <c r="D6" s="7" t="s">
        <v>2386</v>
      </c>
      <c r="E6" s="9">
        <v>46161</v>
      </c>
      <c r="F6" s="9">
        <v>46189</v>
      </c>
      <c r="G6" s="7" t="s">
        <v>482</v>
      </c>
      <c r="H6" s="7" t="s">
        <v>66</v>
      </c>
      <c r="I6" s="227" t="s">
        <v>105</v>
      </c>
      <c r="J6" s="12">
        <v>4150</v>
      </c>
      <c r="K6" s="12">
        <v>0</v>
      </c>
      <c r="L6" s="258">
        <v>100</v>
      </c>
      <c r="M6" s="258">
        <v>0</v>
      </c>
      <c r="N6" s="247">
        <f t="shared" si="0"/>
        <v>4250</v>
      </c>
      <c r="O6" s="247">
        <v>0</v>
      </c>
      <c r="P6" s="6"/>
      <c r="Q6" s="74">
        <v>46239</v>
      </c>
      <c r="R6" s="76">
        <v>6750</v>
      </c>
      <c r="W6" t="str">
        <f t="shared" si="1"/>
        <v>JISA-26056</v>
      </c>
    </row>
    <row r="7" spans="1:23" ht="27.6">
      <c r="A7" s="210" t="s">
        <v>2387</v>
      </c>
      <c r="B7" s="211" t="s">
        <v>1717</v>
      </c>
      <c r="C7" s="308" t="s">
        <v>2379</v>
      </c>
      <c r="D7" s="7" t="s">
        <v>2388</v>
      </c>
      <c r="E7" s="9">
        <v>46162</v>
      </c>
      <c r="F7" s="9">
        <v>46187</v>
      </c>
      <c r="G7" s="7" t="s">
        <v>89</v>
      </c>
      <c r="H7" s="7" t="s">
        <v>85</v>
      </c>
      <c r="I7" s="227" t="s">
        <v>105</v>
      </c>
      <c r="J7" s="12">
        <v>4200</v>
      </c>
      <c r="K7" s="12">
        <v>0</v>
      </c>
      <c r="L7" s="258">
        <v>100</v>
      </c>
      <c r="M7" s="258">
        <v>0</v>
      </c>
      <c r="N7" s="247">
        <f t="shared" si="0"/>
        <v>4300</v>
      </c>
      <c r="O7" s="247">
        <v>0</v>
      </c>
      <c r="P7"/>
      <c r="Q7" s="74">
        <v>46241</v>
      </c>
      <c r="R7" s="76">
        <v>7200</v>
      </c>
      <c r="W7" t="str">
        <f t="shared" si="1"/>
        <v>JISA-26057</v>
      </c>
    </row>
    <row r="8" spans="1:23" ht="27.6">
      <c r="A8" s="114" t="s">
        <v>2389</v>
      </c>
      <c r="B8" s="106" t="s">
        <v>1717</v>
      </c>
      <c r="C8" s="260" t="s">
        <v>2379</v>
      </c>
      <c r="D8" s="32" t="s">
        <v>2390</v>
      </c>
      <c r="E8" s="34">
        <v>46167</v>
      </c>
      <c r="F8" s="34">
        <v>46194</v>
      </c>
      <c r="G8" s="32" t="s">
        <v>89</v>
      </c>
      <c r="H8" s="32" t="s">
        <v>66</v>
      </c>
      <c r="I8" s="112" t="s">
        <v>105</v>
      </c>
      <c r="J8" s="81">
        <v>4600</v>
      </c>
      <c r="K8" s="81">
        <v>0</v>
      </c>
      <c r="L8" s="143">
        <v>100</v>
      </c>
      <c r="M8" s="143">
        <v>0</v>
      </c>
      <c r="N8" s="198">
        <f t="shared" si="0"/>
        <v>4700</v>
      </c>
      <c r="O8" s="198">
        <f>N8</f>
        <v>4700</v>
      </c>
      <c r="P8"/>
      <c r="Q8" s="74">
        <v>46238</v>
      </c>
      <c r="R8" s="76">
        <v>7050</v>
      </c>
      <c r="W8" t="str">
        <f t="shared" si="1"/>
        <v>JISA-26064</v>
      </c>
    </row>
    <row r="9" spans="1:23" ht="27.6">
      <c r="A9" s="114" t="s">
        <v>2391</v>
      </c>
      <c r="B9" s="106" t="s">
        <v>1717</v>
      </c>
      <c r="C9" s="260" t="s">
        <v>2379</v>
      </c>
      <c r="D9" s="32" t="s">
        <v>2392</v>
      </c>
      <c r="E9" s="34">
        <v>46167</v>
      </c>
      <c r="F9" s="34">
        <v>46194</v>
      </c>
      <c r="G9" s="32" t="s">
        <v>89</v>
      </c>
      <c r="H9" s="32" t="s">
        <v>66</v>
      </c>
      <c r="I9" s="112" t="s">
        <v>105</v>
      </c>
      <c r="J9" s="81">
        <v>4600</v>
      </c>
      <c r="K9" s="81">
        <v>0</v>
      </c>
      <c r="L9" s="143">
        <v>100</v>
      </c>
      <c r="M9" s="143">
        <v>0</v>
      </c>
      <c r="N9" s="198">
        <f t="shared" si="0"/>
        <v>4700</v>
      </c>
      <c r="O9" s="198">
        <f>N9</f>
        <v>4700</v>
      </c>
      <c r="P9"/>
      <c r="Q9" s="74">
        <v>46234</v>
      </c>
      <c r="R9" s="76">
        <v>6200</v>
      </c>
      <c r="W9" t="str">
        <f t="shared" si="1"/>
        <v>JISA-26065</v>
      </c>
    </row>
    <row r="10" spans="1:23" ht="27.6">
      <c r="A10" s="210" t="s">
        <v>2393</v>
      </c>
      <c r="B10" s="211" t="s">
        <v>1717</v>
      </c>
      <c r="C10" s="308" t="s">
        <v>2379</v>
      </c>
      <c r="D10" s="7" t="s">
        <v>2394</v>
      </c>
      <c r="E10" s="9">
        <v>46168</v>
      </c>
      <c r="F10" s="9">
        <v>46210</v>
      </c>
      <c r="G10" s="7" t="s">
        <v>482</v>
      </c>
      <c r="H10" s="7" t="s">
        <v>66</v>
      </c>
      <c r="I10" s="227" t="s">
        <v>105</v>
      </c>
      <c r="J10" s="12">
        <v>4550</v>
      </c>
      <c r="K10" s="12">
        <v>0</v>
      </c>
      <c r="L10" s="258">
        <v>100</v>
      </c>
      <c r="M10" s="258">
        <v>0</v>
      </c>
      <c r="N10" s="247">
        <f t="shared" si="0"/>
        <v>4650</v>
      </c>
      <c r="O10" s="247">
        <v>0</v>
      </c>
      <c r="P10"/>
      <c r="Q10" s="74">
        <v>46234</v>
      </c>
      <c r="R10" s="76">
        <v>4650</v>
      </c>
      <c r="W10" t="str">
        <f t="shared" si="1"/>
        <v>JISA-26061</v>
      </c>
    </row>
    <row r="11" spans="1:23" ht="27.6">
      <c r="A11" s="210" t="s">
        <v>2395</v>
      </c>
      <c r="B11" s="211" t="s">
        <v>1717</v>
      </c>
      <c r="C11" s="308" t="s">
        <v>2396</v>
      </c>
      <c r="D11" s="7" t="s">
        <v>2397</v>
      </c>
      <c r="E11" s="9">
        <v>46174</v>
      </c>
      <c r="F11" s="9">
        <v>46215</v>
      </c>
      <c r="G11" s="7" t="s">
        <v>100</v>
      </c>
      <c r="H11" s="7" t="s">
        <v>66</v>
      </c>
      <c r="I11" s="227" t="s">
        <v>105</v>
      </c>
      <c r="J11" s="12">
        <v>5150</v>
      </c>
      <c r="K11" s="12">
        <v>0</v>
      </c>
      <c r="L11" s="258">
        <v>100</v>
      </c>
      <c r="M11" s="258">
        <v>0</v>
      </c>
      <c r="N11" s="247">
        <f t="shared" si="0"/>
        <v>5250</v>
      </c>
      <c r="O11" s="247">
        <v>0</v>
      </c>
      <c r="P11"/>
      <c r="Q11" s="74">
        <v>46248</v>
      </c>
      <c r="R11" s="76">
        <v>7050</v>
      </c>
      <c r="W11" t="str">
        <f t="shared" si="1"/>
        <v>JISA-26076</v>
      </c>
    </row>
    <row r="12" spans="1:23" ht="27.6">
      <c r="A12" s="210" t="s">
        <v>2398</v>
      </c>
      <c r="B12" s="211" t="s">
        <v>1717</v>
      </c>
      <c r="C12" s="308" t="s">
        <v>2396</v>
      </c>
      <c r="D12" s="7" t="s">
        <v>2399</v>
      </c>
      <c r="E12" s="9">
        <v>46177</v>
      </c>
      <c r="F12" s="9">
        <v>46210</v>
      </c>
      <c r="G12" s="7" t="s">
        <v>507</v>
      </c>
      <c r="H12" s="7" t="s">
        <v>66</v>
      </c>
      <c r="I12" s="227" t="s">
        <v>105</v>
      </c>
      <c r="J12" s="12">
        <v>6100</v>
      </c>
      <c r="K12" s="12">
        <v>0</v>
      </c>
      <c r="L12" s="258">
        <v>100</v>
      </c>
      <c r="M12" s="258">
        <v>0</v>
      </c>
      <c r="N12" s="247">
        <f t="shared" si="0"/>
        <v>6200</v>
      </c>
      <c r="O12" s="247">
        <v>0</v>
      </c>
      <c r="P12"/>
      <c r="Q12" s="74">
        <v>46251</v>
      </c>
      <c r="R12" s="76">
        <v>3100</v>
      </c>
      <c r="W12" t="str">
        <f t="shared" si="1"/>
        <v>JISA-26066</v>
      </c>
    </row>
    <row r="13" spans="1:23" ht="27.6">
      <c r="A13" s="210" t="s">
        <v>2400</v>
      </c>
      <c r="B13" s="211" t="s">
        <v>1717</v>
      </c>
      <c r="C13" s="308" t="s">
        <v>2396</v>
      </c>
      <c r="D13" s="7" t="s">
        <v>2401</v>
      </c>
      <c r="E13" s="9">
        <v>46182</v>
      </c>
      <c r="F13" s="9">
        <v>46217</v>
      </c>
      <c r="G13" s="7" t="s">
        <v>482</v>
      </c>
      <c r="H13" s="7" t="s">
        <v>66</v>
      </c>
      <c r="I13" s="227" t="s">
        <v>105</v>
      </c>
      <c r="J13" s="12">
        <v>5950</v>
      </c>
      <c r="K13" s="12">
        <v>0</v>
      </c>
      <c r="L13" s="258">
        <v>100</v>
      </c>
      <c r="M13" s="258">
        <v>0</v>
      </c>
      <c r="N13" s="247">
        <f t="shared" si="0"/>
        <v>6050</v>
      </c>
      <c r="O13" s="247">
        <v>0</v>
      </c>
      <c r="P13"/>
      <c r="Q13" s="74">
        <v>46244</v>
      </c>
      <c r="R13" s="76">
        <v>3100</v>
      </c>
      <c r="W13" t="str">
        <f t="shared" si="1"/>
        <v>JISA-26070</v>
      </c>
    </row>
    <row r="14" spans="1:23" ht="27.6">
      <c r="A14" s="210" t="s">
        <v>2402</v>
      </c>
      <c r="B14" s="211" t="s">
        <v>1717</v>
      </c>
      <c r="C14" s="308" t="s">
        <v>2396</v>
      </c>
      <c r="D14" s="7" t="s">
        <v>2403</v>
      </c>
      <c r="E14" s="9">
        <v>46187</v>
      </c>
      <c r="F14" s="9">
        <v>46214</v>
      </c>
      <c r="G14" s="7" t="s">
        <v>100</v>
      </c>
      <c r="H14" s="7" t="s">
        <v>85</v>
      </c>
      <c r="I14" s="227" t="s">
        <v>105</v>
      </c>
      <c r="J14" s="12">
        <v>5800</v>
      </c>
      <c r="K14" s="12">
        <v>0</v>
      </c>
      <c r="L14" s="258">
        <v>100</v>
      </c>
      <c r="M14" s="258">
        <v>0</v>
      </c>
      <c r="N14" s="247">
        <f t="shared" si="0"/>
        <v>5900</v>
      </c>
      <c r="O14" s="247">
        <v>0</v>
      </c>
      <c r="P14"/>
      <c r="Q14" s="74">
        <v>46202</v>
      </c>
      <c r="R14" s="76">
        <v>12850</v>
      </c>
      <c r="W14" t="str">
        <f t="shared" si="1"/>
        <v>JISA-26077</v>
      </c>
    </row>
    <row r="15" spans="1:23" ht="27.6">
      <c r="A15" s="210" t="s">
        <v>2404</v>
      </c>
      <c r="B15" s="211" t="s">
        <v>1717</v>
      </c>
      <c r="C15" s="308" t="s">
        <v>2396</v>
      </c>
      <c r="D15" s="7" t="s">
        <v>2405</v>
      </c>
      <c r="E15" s="9">
        <v>46188</v>
      </c>
      <c r="F15" s="9">
        <v>46220</v>
      </c>
      <c r="G15" s="7" t="s">
        <v>89</v>
      </c>
      <c r="H15" s="7" t="s">
        <v>66</v>
      </c>
      <c r="I15" s="227" t="s">
        <v>105</v>
      </c>
      <c r="J15" s="12">
        <v>6950</v>
      </c>
      <c r="K15" s="12">
        <v>0</v>
      </c>
      <c r="L15" s="258">
        <v>100</v>
      </c>
      <c r="M15" s="258">
        <v>0</v>
      </c>
      <c r="N15" s="247">
        <f t="shared" si="0"/>
        <v>7050</v>
      </c>
      <c r="O15" s="247">
        <v>0</v>
      </c>
      <c r="P15"/>
      <c r="Q15" s="74">
        <v>46251</v>
      </c>
      <c r="R15" s="76">
        <v>5900</v>
      </c>
      <c r="W15" t="str">
        <f t="shared" si="1"/>
        <v>JISA-26089</v>
      </c>
    </row>
    <row r="16" spans="1:23" ht="27.6">
      <c r="A16" s="210" t="s">
        <v>2406</v>
      </c>
      <c r="B16" s="211" t="s">
        <v>1717</v>
      </c>
      <c r="C16" s="308" t="s">
        <v>2396</v>
      </c>
      <c r="D16" s="7" t="s">
        <v>2407</v>
      </c>
      <c r="E16" s="9">
        <v>46191</v>
      </c>
      <c r="F16" s="9">
        <v>46215</v>
      </c>
      <c r="G16" s="7" t="s">
        <v>507</v>
      </c>
      <c r="H16" s="7" t="s">
        <v>66</v>
      </c>
      <c r="I16" s="227" t="s">
        <v>105</v>
      </c>
      <c r="J16" s="12">
        <v>7100</v>
      </c>
      <c r="K16" s="12">
        <v>0</v>
      </c>
      <c r="L16" s="258">
        <v>100</v>
      </c>
      <c r="M16" s="258">
        <v>0</v>
      </c>
      <c r="N16" s="247">
        <f t="shared" si="0"/>
        <v>7200</v>
      </c>
      <c r="O16" s="247">
        <v>0</v>
      </c>
      <c r="P16"/>
      <c r="Q16" s="74">
        <v>46259</v>
      </c>
      <c r="R16" s="76">
        <v>6000</v>
      </c>
      <c r="W16" t="str">
        <f t="shared" si="1"/>
        <v>JISA-26084</v>
      </c>
    </row>
    <row r="17" spans="1:23" ht="27.6">
      <c r="A17" s="210" t="s">
        <v>2408</v>
      </c>
      <c r="B17" s="211" t="s">
        <v>1717</v>
      </c>
      <c r="C17" s="308" t="s">
        <v>2396</v>
      </c>
      <c r="D17" s="7" t="s">
        <v>2409</v>
      </c>
      <c r="E17" s="9">
        <v>46193</v>
      </c>
      <c r="F17" s="9">
        <v>46225</v>
      </c>
      <c r="G17" s="7" t="s">
        <v>84</v>
      </c>
      <c r="H17" s="7" t="s">
        <v>316</v>
      </c>
      <c r="I17" s="227" t="s">
        <v>105</v>
      </c>
      <c r="J17" s="12">
        <v>6650</v>
      </c>
      <c r="K17" s="12">
        <v>0</v>
      </c>
      <c r="L17" s="258">
        <v>100</v>
      </c>
      <c r="M17" s="258">
        <v>0</v>
      </c>
      <c r="N17" s="247">
        <f t="shared" si="0"/>
        <v>6750</v>
      </c>
      <c r="O17" s="247">
        <v>0</v>
      </c>
      <c r="P17"/>
      <c r="Q17" s="74">
        <v>46259</v>
      </c>
      <c r="R17" s="76">
        <v>6300</v>
      </c>
      <c r="W17" t="str">
        <f t="shared" si="1"/>
        <v>JISA-26083</v>
      </c>
    </row>
    <row r="18" spans="1:23" ht="31.9" customHeight="1">
      <c r="A18" s="210" t="s">
        <v>2410</v>
      </c>
      <c r="B18" s="211" t="s">
        <v>1717</v>
      </c>
      <c r="C18" s="308" t="s">
        <v>2396</v>
      </c>
      <c r="D18" s="7" t="s">
        <v>2411</v>
      </c>
      <c r="E18" s="9">
        <v>46194</v>
      </c>
      <c r="F18" s="9">
        <v>46224</v>
      </c>
      <c r="G18" s="7" t="s">
        <v>482</v>
      </c>
      <c r="H18" s="7" t="s">
        <v>66</v>
      </c>
      <c r="I18" s="227" t="s">
        <v>105</v>
      </c>
      <c r="J18" s="12">
        <v>6950</v>
      </c>
      <c r="K18" s="12">
        <v>0</v>
      </c>
      <c r="L18" s="258">
        <v>100</v>
      </c>
      <c r="M18" s="258">
        <v>0</v>
      </c>
      <c r="N18" s="247">
        <f t="shared" si="0"/>
        <v>7050</v>
      </c>
      <c r="O18" s="247">
        <v>0</v>
      </c>
      <c r="P18"/>
      <c r="Q18" s="74">
        <v>46259</v>
      </c>
      <c r="R18" s="76">
        <v>6400</v>
      </c>
      <c r="W18" t="str">
        <f t="shared" si="1"/>
        <v>JISA-26095</v>
      </c>
    </row>
    <row r="19" spans="1:23" ht="27.6">
      <c r="A19" s="210" t="s">
        <v>2412</v>
      </c>
      <c r="B19" s="211" t="s">
        <v>1717</v>
      </c>
      <c r="C19" s="308" t="s">
        <v>2396</v>
      </c>
      <c r="D19" s="7" t="s">
        <v>2413</v>
      </c>
      <c r="E19" s="9">
        <v>46203</v>
      </c>
      <c r="F19" s="9">
        <v>46233</v>
      </c>
      <c r="G19" s="7" t="s">
        <v>482</v>
      </c>
      <c r="H19" s="7" t="s">
        <v>66</v>
      </c>
      <c r="I19" s="227" t="s">
        <v>495</v>
      </c>
      <c r="J19" s="12">
        <v>6950</v>
      </c>
      <c r="K19" s="12">
        <v>0</v>
      </c>
      <c r="L19" s="258">
        <v>100</v>
      </c>
      <c r="M19" s="258">
        <v>0</v>
      </c>
      <c r="N19" s="247">
        <f>SUM(J19:M19)</f>
        <v>7050</v>
      </c>
      <c r="O19" s="247">
        <v>0</v>
      </c>
      <c r="P19"/>
      <c r="Q19" s="74">
        <v>46283</v>
      </c>
      <c r="R19" s="76">
        <v>37950</v>
      </c>
      <c r="W19" t="str">
        <f t="shared" si="1"/>
        <v>JISA-26101</v>
      </c>
    </row>
    <row r="20" spans="1:23" ht="27.6">
      <c r="A20" s="405" t="s">
        <v>2414</v>
      </c>
      <c r="B20" s="406" t="s">
        <v>1717</v>
      </c>
      <c r="C20" s="407" t="s">
        <v>2396</v>
      </c>
      <c r="D20" s="408" t="s">
        <v>2415</v>
      </c>
      <c r="E20" s="409">
        <v>46203</v>
      </c>
      <c r="F20" s="409">
        <v>46233</v>
      </c>
      <c r="G20" s="408" t="s">
        <v>482</v>
      </c>
      <c r="H20" s="408" t="s">
        <v>66</v>
      </c>
      <c r="I20" s="410" t="s">
        <v>495</v>
      </c>
      <c r="J20" s="411">
        <v>6950</v>
      </c>
      <c r="K20" s="411">
        <v>0</v>
      </c>
      <c r="L20" s="412">
        <v>100</v>
      </c>
      <c r="M20" s="412">
        <v>0</v>
      </c>
      <c r="N20" s="413">
        <f>SUM(J20:M20)</f>
        <v>7050</v>
      </c>
      <c r="O20" s="413">
        <f>N20-3050-3750</f>
        <v>250</v>
      </c>
      <c r="P20"/>
      <c r="Q20" s="74">
        <v>46283</v>
      </c>
      <c r="R20" s="76">
        <v>3050</v>
      </c>
      <c r="W20" t="str">
        <f t="shared" si="1"/>
        <v>JISA-26105</v>
      </c>
    </row>
    <row r="21" spans="1:23" ht="27.6">
      <c r="A21" s="210" t="s">
        <v>2416</v>
      </c>
      <c r="B21" s="211" t="s">
        <v>1717</v>
      </c>
      <c r="C21" s="308" t="s">
        <v>2396</v>
      </c>
      <c r="D21" s="7" t="s">
        <v>2417</v>
      </c>
      <c r="E21" s="9">
        <v>46206</v>
      </c>
      <c r="F21" s="9">
        <v>0</v>
      </c>
      <c r="G21" s="7" t="s">
        <v>89</v>
      </c>
      <c r="H21" s="7" t="s">
        <v>66</v>
      </c>
      <c r="I21" s="227" t="s">
        <v>495</v>
      </c>
      <c r="J21" s="12">
        <v>6300</v>
      </c>
      <c r="K21" s="12">
        <v>0</v>
      </c>
      <c r="L21" s="258">
        <v>100</v>
      </c>
      <c r="M21" s="258">
        <v>0</v>
      </c>
      <c r="N21" s="247">
        <f>SUM(J21:M21)</f>
        <v>6400</v>
      </c>
      <c r="O21" s="247">
        <v>0</v>
      </c>
      <c r="P21"/>
      <c r="Q21" s="74">
        <v>46300</v>
      </c>
      <c r="R21" s="76">
        <v>3750</v>
      </c>
      <c r="W21" t="str">
        <f t="shared" si="1"/>
        <v>JISA-26102</v>
      </c>
    </row>
    <row r="22" spans="1:23" ht="27.6">
      <c r="A22" s="210" t="s">
        <v>2418</v>
      </c>
      <c r="B22" s="211" t="s">
        <v>1717</v>
      </c>
      <c r="C22" s="308" t="s">
        <v>2396</v>
      </c>
      <c r="D22" s="7" t="s">
        <v>2419</v>
      </c>
      <c r="E22" s="9">
        <v>46208</v>
      </c>
      <c r="F22" s="9">
        <v>46240</v>
      </c>
      <c r="G22" s="7" t="s">
        <v>482</v>
      </c>
      <c r="H22" s="7" t="s">
        <v>85</v>
      </c>
      <c r="I22" s="227" t="s">
        <v>105</v>
      </c>
      <c r="J22" s="12">
        <v>5850</v>
      </c>
      <c r="K22" s="12">
        <v>0</v>
      </c>
      <c r="L22" s="258">
        <v>100</v>
      </c>
      <c r="M22" s="258">
        <v>0</v>
      </c>
      <c r="N22" s="247">
        <f>SUM(J22:M22)</f>
        <v>5950</v>
      </c>
      <c r="O22" s="247">
        <v>0</v>
      </c>
      <c r="P22"/>
      <c r="Q22" s="74">
        <v>46304</v>
      </c>
      <c r="R22" s="76">
        <v>35200</v>
      </c>
      <c r="W22" t="str">
        <f t="shared" si="1"/>
        <v>JISA-26107</v>
      </c>
    </row>
    <row r="23" spans="1:23" ht="27.6">
      <c r="A23" s="210" t="s">
        <v>2420</v>
      </c>
      <c r="B23" s="211" t="s">
        <v>1717</v>
      </c>
      <c r="C23" s="308" t="s">
        <v>2396</v>
      </c>
      <c r="D23" s="7" t="s">
        <v>2421</v>
      </c>
      <c r="E23" s="9">
        <v>46210</v>
      </c>
      <c r="F23" s="9">
        <v>46240</v>
      </c>
      <c r="G23" s="7" t="s">
        <v>100</v>
      </c>
      <c r="H23" s="7" t="s">
        <v>66</v>
      </c>
      <c r="I23" s="227" t="s">
        <v>105</v>
      </c>
      <c r="J23" s="12">
        <v>6200</v>
      </c>
      <c r="K23" s="12">
        <v>0</v>
      </c>
      <c r="L23" s="258">
        <v>100</v>
      </c>
      <c r="M23" s="258">
        <v>0</v>
      </c>
      <c r="N23" s="247">
        <f>J23+K23+L23+M23</f>
        <v>6300</v>
      </c>
      <c r="O23" s="247">
        <v>0</v>
      </c>
      <c r="P23"/>
      <c r="Q23"/>
      <c r="W23" t="str">
        <f t="shared" si="1"/>
        <v>JISA-26112</v>
      </c>
    </row>
    <row r="24" spans="1:23" ht="27.6">
      <c r="A24" s="405" t="s">
        <v>2422</v>
      </c>
      <c r="B24" s="406" t="s">
        <v>1717</v>
      </c>
      <c r="C24" s="407" t="s">
        <v>2396</v>
      </c>
      <c r="D24" s="408" t="s">
        <v>2423</v>
      </c>
      <c r="E24" s="409">
        <v>46210</v>
      </c>
      <c r="F24" s="409">
        <v>46274</v>
      </c>
      <c r="G24" s="408" t="s">
        <v>89</v>
      </c>
      <c r="H24" s="408" t="s">
        <v>648</v>
      </c>
      <c r="I24" s="410" t="s">
        <v>105</v>
      </c>
      <c r="J24" s="411">
        <v>6850</v>
      </c>
      <c r="K24" s="411">
        <v>0</v>
      </c>
      <c r="L24" s="412">
        <v>100</v>
      </c>
      <c r="M24" s="309">
        <v>657</v>
      </c>
      <c r="N24" s="413">
        <f>J24+K24+L24+M24</f>
        <v>7607</v>
      </c>
      <c r="O24" s="413">
        <v>757</v>
      </c>
      <c r="P24"/>
      <c r="Q24"/>
      <c r="W24" t="str">
        <f t="shared" si="1"/>
        <v>JISA-26114</v>
      </c>
    </row>
    <row r="25" spans="1:23" ht="27.6">
      <c r="A25" s="210" t="s">
        <v>2424</v>
      </c>
      <c r="B25" s="211" t="s">
        <v>1717</v>
      </c>
      <c r="C25" s="308" t="s">
        <v>2396</v>
      </c>
      <c r="D25" s="7" t="s">
        <v>2425</v>
      </c>
      <c r="E25" s="9">
        <v>46212</v>
      </c>
      <c r="F25" s="9">
        <v>46239</v>
      </c>
      <c r="G25" s="7" t="s">
        <v>89</v>
      </c>
      <c r="H25" s="7" t="s">
        <v>66</v>
      </c>
      <c r="I25" s="227" t="s">
        <v>495</v>
      </c>
      <c r="J25" s="12">
        <v>5800</v>
      </c>
      <c r="K25" s="12">
        <v>0</v>
      </c>
      <c r="L25" s="258">
        <v>100</v>
      </c>
      <c r="M25" s="258">
        <v>0</v>
      </c>
      <c r="N25" s="247">
        <f>SUM(J25:M25)</f>
        <v>5900</v>
      </c>
      <c r="O25" s="247">
        <v>0</v>
      </c>
      <c r="P25"/>
      <c r="Q25"/>
      <c r="W25" t="str">
        <f t="shared" si="1"/>
        <v>JISA-26103</v>
      </c>
    </row>
    <row r="26" spans="1:23" ht="27.6">
      <c r="A26" s="210" t="s">
        <v>2426</v>
      </c>
      <c r="B26" s="211" t="s">
        <v>1717</v>
      </c>
      <c r="C26" s="308" t="s">
        <v>2396</v>
      </c>
      <c r="D26" s="7" t="s">
        <v>2427</v>
      </c>
      <c r="E26" s="9">
        <v>46213</v>
      </c>
      <c r="F26" s="9">
        <v>46235</v>
      </c>
      <c r="G26" s="7" t="s">
        <v>100</v>
      </c>
      <c r="H26" s="7" t="s">
        <v>66</v>
      </c>
      <c r="I26" s="227" t="s">
        <v>495</v>
      </c>
      <c r="J26" s="12">
        <v>5900</v>
      </c>
      <c r="K26" s="12">
        <v>0</v>
      </c>
      <c r="L26" s="258">
        <v>100</v>
      </c>
      <c r="M26" s="258">
        <v>0</v>
      </c>
      <c r="N26" s="247">
        <f t="shared" ref="N26:N46" si="2">J26+K26+L26+M26</f>
        <v>6000</v>
      </c>
      <c r="O26" s="247">
        <v>0</v>
      </c>
      <c r="P26"/>
      <c r="Q26"/>
      <c r="W26" t="str">
        <f t="shared" si="1"/>
        <v>JISA-26115</v>
      </c>
    </row>
    <row r="27" spans="1:23" ht="27.6">
      <c r="A27" s="210" t="s">
        <v>2428</v>
      </c>
      <c r="B27" s="211" t="s">
        <v>1717</v>
      </c>
      <c r="C27" s="308" t="s">
        <v>2396</v>
      </c>
      <c r="D27" s="7" t="s">
        <v>2429</v>
      </c>
      <c r="E27" s="9">
        <v>46213</v>
      </c>
      <c r="F27" s="9">
        <v>46235</v>
      </c>
      <c r="G27" s="7" t="s">
        <v>100</v>
      </c>
      <c r="H27" s="7" t="s">
        <v>66</v>
      </c>
      <c r="I27" s="227" t="s">
        <v>495</v>
      </c>
      <c r="J27" s="12">
        <v>5900</v>
      </c>
      <c r="K27" s="12">
        <v>0</v>
      </c>
      <c r="L27" s="258">
        <v>100</v>
      </c>
      <c r="M27" s="258">
        <v>0</v>
      </c>
      <c r="N27" s="247">
        <f t="shared" si="2"/>
        <v>6000</v>
      </c>
      <c r="O27" s="247">
        <v>0</v>
      </c>
      <c r="P27"/>
      <c r="Q27"/>
      <c r="W27" t="str">
        <f t="shared" si="1"/>
        <v>JISA-26109</v>
      </c>
    </row>
    <row r="28" spans="1:23" ht="27.6">
      <c r="A28" s="210" t="s">
        <v>2430</v>
      </c>
      <c r="B28" s="211" t="s">
        <v>1717</v>
      </c>
      <c r="C28" s="308" t="s">
        <v>2396</v>
      </c>
      <c r="D28" s="7" t="s">
        <v>2431</v>
      </c>
      <c r="E28" s="9">
        <v>46217</v>
      </c>
      <c r="F28" s="9">
        <v>46224</v>
      </c>
      <c r="G28" s="7" t="s">
        <v>149</v>
      </c>
      <c r="H28" s="7" t="s">
        <v>66</v>
      </c>
      <c r="I28" s="227" t="s">
        <v>105</v>
      </c>
      <c r="J28" s="12">
        <v>5900</v>
      </c>
      <c r="K28" s="12">
        <v>0</v>
      </c>
      <c r="L28" s="258">
        <v>100</v>
      </c>
      <c r="M28" s="258">
        <v>0</v>
      </c>
      <c r="N28" s="247">
        <f t="shared" si="2"/>
        <v>6000</v>
      </c>
      <c r="O28" s="247">
        <v>0</v>
      </c>
      <c r="P28"/>
      <c r="Q28"/>
      <c r="W28" t="str">
        <f t="shared" si="1"/>
        <v>JISA-26122</v>
      </c>
    </row>
    <row r="29" spans="1:23" ht="27.6">
      <c r="A29" s="114" t="s">
        <v>2432</v>
      </c>
      <c r="B29" s="106" t="s">
        <v>1717</v>
      </c>
      <c r="C29" s="260" t="s">
        <v>2396</v>
      </c>
      <c r="D29" s="32" t="s">
        <v>2433</v>
      </c>
      <c r="E29" s="34">
        <v>46218</v>
      </c>
      <c r="F29" s="34">
        <v>46243</v>
      </c>
      <c r="G29" s="32" t="s">
        <v>100</v>
      </c>
      <c r="H29" s="32" t="s">
        <v>66</v>
      </c>
      <c r="I29" s="112" t="s">
        <v>495</v>
      </c>
      <c r="J29" s="81">
        <v>5500</v>
      </c>
      <c r="K29" s="81">
        <v>0</v>
      </c>
      <c r="L29" s="143">
        <v>100</v>
      </c>
      <c r="M29" s="143">
        <v>0</v>
      </c>
      <c r="N29" s="198">
        <f t="shared" si="2"/>
        <v>5600</v>
      </c>
      <c r="O29" s="198">
        <f>N29</f>
        <v>5600</v>
      </c>
      <c r="P29"/>
      <c r="Q29"/>
      <c r="W29" t="str">
        <f t="shared" si="1"/>
        <v>JISA-26110</v>
      </c>
    </row>
    <row r="30" spans="1:23" ht="27.6">
      <c r="A30" s="210" t="s">
        <v>2434</v>
      </c>
      <c r="B30" s="211" t="s">
        <v>1717</v>
      </c>
      <c r="C30" s="308" t="s">
        <v>2396</v>
      </c>
      <c r="D30" s="7" t="s">
        <v>2435</v>
      </c>
      <c r="E30" s="9">
        <v>46218</v>
      </c>
      <c r="F30" s="9">
        <v>46243</v>
      </c>
      <c r="G30" s="7" t="s">
        <v>100</v>
      </c>
      <c r="H30" s="7" t="s">
        <v>66</v>
      </c>
      <c r="I30" s="227" t="s">
        <v>495</v>
      </c>
      <c r="J30" s="12">
        <v>5500</v>
      </c>
      <c r="K30" s="12">
        <v>0</v>
      </c>
      <c r="L30" s="258">
        <v>100</v>
      </c>
      <c r="M30" s="258">
        <v>0</v>
      </c>
      <c r="N30" s="247">
        <f t="shared" si="2"/>
        <v>5600</v>
      </c>
      <c r="O30" s="247">
        <v>0</v>
      </c>
      <c r="P30"/>
      <c r="Q30"/>
      <c r="W30" t="str">
        <f t="shared" si="1"/>
        <v>JISA-26119</v>
      </c>
    </row>
    <row r="31" spans="1:23" ht="27.6">
      <c r="A31" s="114" t="s">
        <v>2436</v>
      </c>
      <c r="B31" s="106" t="s">
        <v>1717</v>
      </c>
      <c r="C31" s="260" t="s">
        <v>2396</v>
      </c>
      <c r="D31" s="32" t="s">
        <v>2437</v>
      </c>
      <c r="E31" s="34">
        <v>46218</v>
      </c>
      <c r="F31" s="34">
        <v>46243</v>
      </c>
      <c r="G31" s="32" t="s">
        <v>100</v>
      </c>
      <c r="H31" s="32" t="s">
        <v>66</v>
      </c>
      <c r="I31" s="112" t="s">
        <v>495</v>
      </c>
      <c r="J31" s="81">
        <v>5500</v>
      </c>
      <c r="K31" s="81">
        <v>0</v>
      </c>
      <c r="L31" s="143">
        <v>100</v>
      </c>
      <c r="M31" s="143">
        <v>0</v>
      </c>
      <c r="N31" s="198">
        <f t="shared" si="2"/>
        <v>5600</v>
      </c>
      <c r="O31" s="198">
        <f>N31</f>
        <v>5600</v>
      </c>
      <c r="P31"/>
      <c r="Q31"/>
      <c r="W31" t="str">
        <f t="shared" si="1"/>
        <v>JISA-26120</v>
      </c>
    </row>
    <row r="32" spans="1:23" ht="27.6">
      <c r="A32" s="210" t="s">
        <v>2438</v>
      </c>
      <c r="B32" s="211" t="s">
        <v>1717</v>
      </c>
      <c r="C32" s="308" t="s">
        <v>2396</v>
      </c>
      <c r="D32" s="7" t="s">
        <v>2439</v>
      </c>
      <c r="E32" s="9">
        <v>46224</v>
      </c>
      <c r="F32" s="9">
        <v>46263</v>
      </c>
      <c r="G32" s="7" t="s">
        <v>100</v>
      </c>
      <c r="H32" s="7" t="s">
        <v>66</v>
      </c>
      <c r="I32" s="227" t="s">
        <v>495</v>
      </c>
      <c r="J32" s="12">
        <v>5500</v>
      </c>
      <c r="K32" s="12">
        <v>0</v>
      </c>
      <c r="L32" s="258">
        <v>100</v>
      </c>
      <c r="M32" s="258">
        <v>0</v>
      </c>
      <c r="N32" s="247">
        <f t="shared" si="2"/>
        <v>5600</v>
      </c>
      <c r="O32" s="247">
        <v>0</v>
      </c>
      <c r="P32"/>
      <c r="Q32"/>
      <c r="W32" t="str">
        <f t="shared" si="1"/>
        <v>JISA-26121</v>
      </c>
    </row>
    <row r="33" spans="1:23" ht="27.6">
      <c r="A33" s="114" t="s">
        <v>2440</v>
      </c>
      <c r="B33" s="106" t="s">
        <v>1717</v>
      </c>
      <c r="C33" s="260" t="s">
        <v>2396</v>
      </c>
      <c r="D33" s="32" t="s">
        <v>2441</v>
      </c>
      <c r="E33" s="34">
        <v>46226</v>
      </c>
      <c r="F33" s="34">
        <v>46248</v>
      </c>
      <c r="G33" s="32" t="s">
        <v>89</v>
      </c>
      <c r="H33" s="32" t="s">
        <v>66</v>
      </c>
      <c r="I33" s="112" t="s">
        <v>495</v>
      </c>
      <c r="J33" s="81">
        <v>5000</v>
      </c>
      <c r="K33" s="81">
        <v>0</v>
      </c>
      <c r="L33" s="143">
        <v>100</v>
      </c>
      <c r="M33" s="143">
        <v>0</v>
      </c>
      <c r="N33" s="198">
        <f t="shared" si="2"/>
        <v>5100</v>
      </c>
      <c r="O33" s="198">
        <f>N33</f>
        <v>5100</v>
      </c>
      <c r="P33"/>
      <c r="Q33"/>
      <c r="W33" t="str">
        <f t="shared" si="1"/>
        <v>JISA-26118</v>
      </c>
    </row>
    <row r="34" spans="1:23" ht="27.6">
      <c r="A34" s="114" t="s">
        <v>2442</v>
      </c>
      <c r="B34" s="106" t="s">
        <v>1717</v>
      </c>
      <c r="C34" s="260" t="s">
        <v>2396</v>
      </c>
      <c r="D34" s="32" t="s">
        <v>2443</v>
      </c>
      <c r="E34" s="34">
        <v>46233</v>
      </c>
      <c r="F34" s="34">
        <v>46259</v>
      </c>
      <c r="G34" s="32" t="s">
        <v>89</v>
      </c>
      <c r="H34" s="32" t="s">
        <v>66</v>
      </c>
      <c r="I34" s="112" t="s">
        <v>495</v>
      </c>
      <c r="J34" s="81">
        <v>5000</v>
      </c>
      <c r="K34" s="81">
        <v>0</v>
      </c>
      <c r="L34" s="143">
        <v>100</v>
      </c>
      <c r="M34" s="143">
        <v>0</v>
      </c>
      <c r="N34" s="198">
        <f t="shared" si="2"/>
        <v>5100</v>
      </c>
      <c r="O34" s="198">
        <f>N34</f>
        <v>5100</v>
      </c>
      <c r="P34"/>
      <c r="Q34"/>
      <c r="W34" t="str">
        <f t="shared" si="1"/>
        <v>JISA-26123</v>
      </c>
    </row>
    <row r="35" spans="1:23" ht="27.6">
      <c r="A35" s="210" t="s">
        <v>2444</v>
      </c>
      <c r="B35" s="211" t="s">
        <v>1717</v>
      </c>
      <c r="C35" s="308" t="s">
        <v>2396</v>
      </c>
      <c r="D35" s="7" t="s">
        <v>2445</v>
      </c>
      <c r="E35" s="9">
        <v>46241</v>
      </c>
      <c r="F35" s="9">
        <v>46272</v>
      </c>
      <c r="G35" s="7" t="s">
        <v>1175</v>
      </c>
      <c r="H35" s="7" t="s">
        <v>85</v>
      </c>
      <c r="I35" s="227" t="s">
        <v>105</v>
      </c>
      <c r="J35" s="12">
        <v>5700</v>
      </c>
      <c r="K35" s="12">
        <v>0</v>
      </c>
      <c r="L35" s="258">
        <v>100</v>
      </c>
      <c r="M35" s="258">
        <v>0</v>
      </c>
      <c r="N35" s="247">
        <f t="shared" si="2"/>
        <v>5800</v>
      </c>
      <c r="O35" s="247">
        <v>0</v>
      </c>
      <c r="P35"/>
      <c r="Q35"/>
      <c r="W35" t="str">
        <f t="shared" si="1"/>
        <v>JISA-26127</v>
      </c>
    </row>
    <row r="36" spans="1:23" ht="27.6">
      <c r="A36" s="210" t="s">
        <v>2446</v>
      </c>
      <c r="B36" s="211" t="s">
        <v>1717</v>
      </c>
      <c r="C36" s="308" t="s">
        <v>2396</v>
      </c>
      <c r="D36" s="7" t="s">
        <v>2447</v>
      </c>
      <c r="E36" s="9">
        <v>46243</v>
      </c>
      <c r="F36" s="9">
        <v>46268</v>
      </c>
      <c r="G36" s="7" t="s">
        <v>79</v>
      </c>
      <c r="H36" s="7" t="s">
        <v>66</v>
      </c>
      <c r="I36" s="227" t="s">
        <v>495</v>
      </c>
      <c r="J36" s="12">
        <v>6100</v>
      </c>
      <c r="K36" s="12">
        <v>0</v>
      </c>
      <c r="L36" s="258">
        <v>100</v>
      </c>
      <c r="M36" s="258">
        <v>0</v>
      </c>
      <c r="N36" s="247">
        <f t="shared" si="2"/>
        <v>6200</v>
      </c>
      <c r="O36" s="247">
        <v>0</v>
      </c>
      <c r="P36"/>
      <c r="Q36"/>
      <c r="W36" t="str">
        <f t="shared" si="1"/>
        <v>JISA-26126</v>
      </c>
    </row>
    <row r="37" spans="1:23" ht="27.6">
      <c r="A37" s="210" t="s">
        <v>2448</v>
      </c>
      <c r="B37" s="211" t="s">
        <v>1717</v>
      </c>
      <c r="C37" s="308" t="s">
        <v>2396</v>
      </c>
      <c r="D37" s="7" t="s">
        <v>2449</v>
      </c>
      <c r="E37" s="9">
        <v>46247</v>
      </c>
      <c r="F37" s="9">
        <v>46284</v>
      </c>
      <c r="G37" s="7" t="s">
        <v>100</v>
      </c>
      <c r="H37" s="7" t="s">
        <v>66</v>
      </c>
      <c r="I37" s="227" t="s">
        <v>495</v>
      </c>
      <c r="J37" s="12">
        <v>6000</v>
      </c>
      <c r="K37" s="12">
        <v>0</v>
      </c>
      <c r="L37" s="258">
        <v>100</v>
      </c>
      <c r="M37" s="258">
        <v>0</v>
      </c>
      <c r="N37" s="247">
        <f t="shared" si="2"/>
        <v>6100</v>
      </c>
      <c r="O37" s="247">
        <v>0</v>
      </c>
      <c r="P37"/>
      <c r="Q37"/>
      <c r="W37" t="str">
        <f t="shared" si="1"/>
        <v>JISA-26131</v>
      </c>
    </row>
    <row r="38" spans="1:23" ht="27.6">
      <c r="A38" s="210" t="s">
        <v>2450</v>
      </c>
      <c r="B38" s="211" t="s">
        <v>1717</v>
      </c>
      <c r="C38" s="308" t="s">
        <v>2396</v>
      </c>
      <c r="D38" s="7" t="s">
        <v>2451</v>
      </c>
      <c r="E38" s="9">
        <v>46248</v>
      </c>
      <c r="F38" s="9">
        <v>46284</v>
      </c>
      <c r="G38" s="7" t="s">
        <v>100</v>
      </c>
      <c r="H38" s="7" t="s">
        <v>66</v>
      </c>
      <c r="I38" s="227" t="s">
        <v>495</v>
      </c>
      <c r="J38" s="12">
        <v>6000</v>
      </c>
      <c r="K38" s="12">
        <v>0</v>
      </c>
      <c r="L38" s="258">
        <v>100</v>
      </c>
      <c r="M38" s="258">
        <v>0</v>
      </c>
      <c r="N38" s="247">
        <f t="shared" si="2"/>
        <v>6100</v>
      </c>
      <c r="O38" s="247">
        <v>0</v>
      </c>
      <c r="P38"/>
      <c r="Q38"/>
      <c r="W38" t="str">
        <f t="shared" si="1"/>
        <v>JISA-26135</v>
      </c>
    </row>
    <row r="39" spans="1:23" ht="27.6">
      <c r="A39" s="114" t="s">
        <v>2452</v>
      </c>
      <c r="B39" s="106" t="s">
        <v>1717</v>
      </c>
      <c r="C39" s="260" t="s">
        <v>2453</v>
      </c>
      <c r="D39" s="32" t="s">
        <v>2454</v>
      </c>
      <c r="E39" s="34">
        <v>46248</v>
      </c>
      <c r="F39" s="34">
        <v>46289</v>
      </c>
      <c r="G39" s="32" t="s">
        <v>89</v>
      </c>
      <c r="H39" s="32" t="s">
        <v>66</v>
      </c>
      <c r="I39" s="112" t="s">
        <v>105</v>
      </c>
      <c r="J39" s="81">
        <v>6525</v>
      </c>
      <c r="K39" s="81">
        <v>0</v>
      </c>
      <c r="L39" s="143">
        <v>100</v>
      </c>
      <c r="M39" s="143">
        <v>25</v>
      </c>
      <c r="N39" s="198">
        <f t="shared" si="2"/>
        <v>6650</v>
      </c>
      <c r="O39" s="198">
        <f t="shared" ref="O39:O46" si="3">N39</f>
        <v>6650</v>
      </c>
      <c r="P39"/>
      <c r="Q39"/>
      <c r="W39" t="str">
        <f t="shared" si="1"/>
        <v>JISA-26133</v>
      </c>
    </row>
    <row r="40" spans="1:23" ht="27.6">
      <c r="A40" s="114" t="s">
        <v>2455</v>
      </c>
      <c r="B40" s="106" t="s">
        <v>1717</v>
      </c>
      <c r="C40" s="260" t="s">
        <v>2453</v>
      </c>
      <c r="D40" s="32" t="s">
        <v>2456</v>
      </c>
      <c r="E40" s="34">
        <v>46248</v>
      </c>
      <c r="F40" s="34">
        <v>46289</v>
      </c>
      <c r="G40" s="32" t="s">
        <v>89</v>
      </c>
      <c r="H40" s="32" t="s">
        <v>66</v>
      </c>
      <c r="I40" s="112" t="s">
        <v>105</v>
      </c>
      <c r="J40" s="81">
        <v>6525</v>
      </c>
      <c r="K40" s="81">
        <v>0</v>
      </c>
      <c r="L40" s="143">
        <v>100</v>
      </c>
      <c r="M40" s="143">
        <v>25</v>
      </c>
      <c r="N40" s="198">
        <f t="shared" si="2"/>
        <v>6650</v>
      </c>
      <c r="O40" s="198">
        <f t="shared" si="3"/>
        <v>6650</v>
      </c>
      <c r="P40"/>
      <c r="Q40"/>
      <c r="W40" t="str">
        <f t="shared" si="1"/>
        <v>JISA-26136</v>
      </c>
    </row>
    <row r="41" spans="1:23" ht="27.6">
      <c r="A41" s="114" t="s">
        <v>2457</v>
      </c>
      <c r="B41" s="106" t="s">
        <v>1717</v>
      </c>
      <c r="C41" s="260" t="s">
        <v>2396</v>
      </c>
      <c r="D41" s="32" t="s">
        <v>2458</v>
      </c>
      <c r="E41" s="34">
        <v>46250</v>
      </c>
      <c r="F41" s="34">
        <v>46295</v>
      </c>
      <c r="G41" s="32" t="s">
        <v>100</v>
      </c>
      <c r="H41" s="32" t="s">
        <v>2459</v>
      </c>
      <c r="I41" s="112" t="s">
        <v>105</v>
      </c>
      <c r="J41" s="81">
        <v>6900</v>
      </c>
      <c r="K41" s="81">
        <v>0</v>
      </c>
      <c r="L41" s="143">
        <v>100</v>
      </c>
      <c r="M41" s="143">
        <v>0</v>
      </c>
      <c r="N41" s="198">
        <f t="shared" si="2"/>
        <v>7000</v>
      </c>
      <c r="O41" s="198">
        <f t="shared" si="3"/>
        <v>7000</v>
      </c>
      <c r="P41"/>
      <c r="Q41"/>
      <c r="W41" t="str">
        <f t="shared" si="1"/>
        <v>JISA-26134</v>
      </c>
    </row>
    <row r="42" spans="1:23" ht="27.6">
      <c r="A42" s="114" t="s">
        <v>2460</v>
      </c>
      <c r="B42" s="106" t="s">
        <v>1717</v>
      </c>
      <c r="C42" s="260" t="s">
        <v>2461</v>
      </c>
      <c r="D42" s="32" t="s">
        <v>2462</v>
      </c>
      <c r="E42" s="34">
        <v>46257</v>
      </c>
      <c r="F42" s="34">
        <v>46288</v>
      </c>
      <c r="G42" s="32" t="s">
        <v>89</v>
      </c>
      <c r="H42" s="32" t="s">
        <v>85</v>
      </c>
      <c r="I42" s="112" t="s">
        <v>105</v>
      </c>
      <c r="J42" s="81">
        <v>8000</v>
      </c>
      <c r="K42" s="81">
        <v>0</v>
      </c>
      <c r="L42" s="143">
        <v>100</v>
      </c>
      <c r="M42" s="143">
        <v>0</v>
      </c>
      <c r="N42" s="198">
        <f t="shared" si="2"/>
        <v>8100</v>
      </c>
      <c r="O42" s="198">
        <f t="shared" si="3"/>
        <v>8100</v>
      </c>
      <c r="P42"/>
      <c r="Q42"/>
      <c r="W42" t="str">
        <f t="shared" si="1"/>
        <v>JISA-26137</v>
      </c>
    </row>
    <row r="43" spans="1:23" ht="27.6">
      <c r="A43" s="114" t="s">
        <v>2463</v>
      </c>
      <c r="B43" s="106" t="s">
        <v>1717</v>
      </c>
      <c r="C43" s="260" t="s">
        <v>2396</v>
      </c>
      <c r="D43" s="32" t="s">
        <v>2464</v>
      </c>
      <c r="E43" s="34">
        <v>46265</v>
      </c>
      <c r="F43" s="34">
        <v>46289</v>
      </c>
      <c r="G43" s="32" t="s">
        <v>482</v>
      </c>
      <c r="H43" s="32" t="s">
        <v>66</v>
      </c>
      <c r="I43" s="112" t="s">
        <v>495</v>
      </c>
      <c r="J43" s="81">
        <v>8150</v>
      </c>
      <c r="K43" s="81">
        <v>0</v>
      </c>
      <c r="L43" s="143">
        <v>100</v>
      </c>
      <c r="M43" s="143">
        <v>0</v>
      </c>
      <c r="N43" s="198">
        <f t="shared" si="2"/>
        <v>8250</v>
      </c>
      <c r="O43" s="198">
        <f t="shared" si="3"/>
        <v>8250</v>
      </c>
      <c r="P43"/>
      <c r="Q43"/>
      <c r="W43" t="str">
        <f t="shared" si="1"/>
        <v>JISA-26142</v>
      </c>
    </row>
    <row r="44" spans="1:23" ht="27.6">
      <c r="A44" s="114" t="s">
        <v>2465</v>
      </c>
      <c r="B44" s="106" t="s">
        <v>1717</v>
      </c>
      <c r="C44" s="260" t="s">
        <v>2453</v>
      </c>
      <c r="D44" s="32" t="s">
        <v>2466</v>
      </c>
      <c r="E44" s="34">
        <v>46270</v>
      </c>
      <c r="F44" s="34">
        <v>46297</v>
      </c>
      <c r="G44" s="32" t="s">
        <v>1175</v>
      </c>
      <c r="H44" s="32" t="s">
        <v>66</v>
      </c>
      <c r="I44" s="112" t="s">
        <v>105</v>
      </c>
      <c r="J44" s="81">
        <v>8050</v>
      </c>
      <c r="K44" s="81">
        <v>0</v>
      </c>
      <c r="L44" s="143">
        <v>100</v>
      </c>
      <c r="M44" s="143">
        <v>0</v>
      </c>
      <c r="N44" s="198">
        <f t="shared" si="2"/>
        <v>8150</v>
      </c>
      <c r="O44" s="198">
        <f t="shared" si="3"/>
        <v>8150</v>
      </c>
      <c r="P44"/>
      <c r="Q44"/>
      <c r="W44" t="str">
        <f t="shared" si="1"/>
        <v>JISA-26141</v>
      </c>
    </row>
    <row r="45" spans="1:23" ht="27.6">
      <c r="A45" s="114" t="s">
        <v>2467</v>
      </c>
      <c r="B45" s="106" t="s">
        <v>1717</v>
      </c>
      <c r="C45" s="260" t="s">
        <v>2453</v>
      </c>
      <c r="D45" s="32" t="s">
        <v>2468</v>
      </c>
      <c r="E45" s="34">
        <v>46278</v>
      </c>
      <c r="F45" s="34">
        <v>46302</v>
      </c>
      <c r="G45" s="32" t="s">
        <v>1175</v>
      </c>
      <c r="H45" s="32" t="s">
        <v>66</v>
      </c>
      <c r="I45" s="112" t="s">
        <v>105</v>
      </c>
      <c r="J45" s="81">
        <v>8050</v>
      </c>
      <c r="K45" s="81">
        <v>0</v>
      </c>
      <c r="L45" s="143">
        <v>100</v>
      </c>
      <c r="M45" s="143">
        <v>0</v>
      </c>
      <c r="N45" s="198">
        <f t="shared" si="2"/>
        <v>8150</v>
      </c>
      <c r="O45" s="198">
        <f t="shared" si="3"/>
        <v>8150</v>
      </c>
      <c r="P45"/>
      <c r="Q45"/>
      <c r="W45" t="str">
        <f t="shared" si="1"/>
        <v>JISA-26143</v>
      </c>
    </row>
    <row r="46" spans="1:23" ht="27.6">
      <c r="A46" s="114" t="s">
        <v>2469</v>
      </c>
      <c r="B46" s="106" t="s">
        <v>1717</v>
      </c>
      <c r="C46" s="260" t="s">
        <v>2453</v>
      </c>
      <c r="D46" s="32" t="s">
        <v>2470</v>
      </c>
      <c r="E46" s="34">
        <v>46283</v>
      </c>
      <c r="F46" s="34">
        <v>46308</v>
      </c>
      <c r="G46" s="32" t="s">
        <v>100</v>
      </c>
      <c r="H46" s="32" t="s">
        <v>66</v>
      </c>
      <c r="I46" s="112" t="s">
        <v>105</v>
      </c>
      <c r="J46" s="81">
        <v>7200</v>
      </c>
      <c r="K46" s="81">
        <v>0</v>
      </c>
      <c r="L46" s="143">
        <v>100</v>
      </c>
      <c r="M46" s="143">
        <v>0</v>
      </c>
      <c r="N46" s="198">
        <f t="shared" si="2"/>
        <v>7300</v>
      </c>
      <c r="O46" s="198">
        <f t="shared" si="3"/>
        <v>7300</v>
      </c>
      <c r="P46"/>
      <c r="Q46"/>
      <c r="W46" t="str">
        <f t="shared" si="1"/>
        <v>JISA-26144</v>
      </c>
    </row>
    <row r="47" spans="1:23">
      <c r="W47">
        <f t="shared" si="1"/>
        <v>0</v>
      </c>
    </row>
    <row r="48" spans="1:23">
      <c r="W48">
        <f t="shared" si="1"/>
        <v>0</v>
      </c>
    </row>
    <row r="49" spans="8:23">
      <c r="W49">
        <f t="shared" si="1"/>
        <v>0</v>
      </c>
    </row>
    <row r="50" spans="8:23">
      <c r="H50"/>
      <c r="I50"/>
      <c r="J50"/>
      <c r="K50"/>
      <c r="W50">
        <f t="shared" si="1"/>
        <v>0</v>
      </c>
    </row>
    <row r="51" spans="8:23">
      <c r="H51"/>
      <c r="I51"/>
      <c r="J51"/>
      <c r="K51"/>
      <c r="W51">
        <f t="shared" si="1"/>
        <v>0</v>
      </c>
    </row>
    <row r="52" spans="8:23">
      <c r="H52"/>
      <c r="I52"/>
      <c r="J52"/>
      <c r="K52"/>
      <c r="W52">
        <f t="shared" si="1"/>
        <v>0</v>
      </c>
    </row>
    <row r="53" spans="8:23">
      <c r="H53"/>
      <c r="I53"/>
      <c r="J53"/>
      <c r="K53"/>
      <c r="W53">
        <f t="shared" si="1"/>
        <v>0</v>
      </c>
    </row>
    <row r="54" spans="8:23">
      <c r="H54"/>
      <c r="I54"/>
      <c r="J54"/>
      <c r="K54"/>
      <c r="W54">
        <f t="shared" si="1"/>
        <v>0</v>
      </c>
    </row>
    <row r="55" spans="8:23">
      <c r="H55"/>
      <c r="I55"/>
      <c r="J55"/>
      <c r="K55"/>
      <c r="W55">
        <f t="shared" si="1"/>
        <v>0</v>
      </c>
    </row>
    <row r="56" spans="8:23">
      <c r="H56"/>
      <c r="I56"/>
      <c r="J56"/>
      <c r="K56"/>
      <c r="W56">
        <f t="shared" si="1"/>
        <v>0</v>
      </c>
    </row>
    <row r="57" spans="8:23">
      <c r="H57"/>
      <c r="I57"/>
      <c r="J57"/>
      <c r="K57"/>
      <c r="W57">
        <f t="shared" si="1"/>
        <v>0</v>
      </c>
    </row>
    <row r="58" spans="8:23">
      <c r="H58"/>
      <c r="I58"/>
      <c r="J58"/>
      <c r="K58"/>
      <c r="W58">
        <f t="shared" si="1"/>
        <v>0</v>
      </c>
    </row>
    <row r="59" spans="8:23">
      <c r="H59"/>
      <c r="I59"/>
      <c r="J59"/>
      <c r="K59"/>
      <c r="W59">
        <f t="shared" si="1"/>
        <v>0</v>
      </c>
    </row>
    <row r="60" spans="8:23">
      <c r="W60">
        <f t="shared" si="1"/>
        <v>0</v>
      </c>
    </row>
    <row r="61" spans="8:23">
      <c r="W61">
        <f t="shared" si="1"/>
        <v>0</v>
      </c>
    </row>
    <row r="62" spans="8:23">
      <c r="W62">
        <f t="shared" si="1"/>
        <v>0</v>
      </c>
    </row>
    <row r="63" spans="8:23">
      <c r="W63">
        <f t="shared" si="1"/>
        <v>0</v>
      </c>
    </row>
    <row r="64" spans="8:23">
      <c r="W64">
        <f t="shared" si="1"/>
        <v>0</v>
      </c>
    </row>
    <row r="65" spans="23:23">
      <c r="W65">
        <f t="shared" si="1"/>
        <v>0</v>
      </c>
    </row>
    <row r="66" spans="23:23">
      <c r="W66">
        <f t="shared" si="1"/>
        <v>0</v>
      </c>
    </row>
    <row r="67" spans="23:23">
      <c r="W67">
        <f t="shared" si="1"/>
        <v>0</v>
      </c>
    </row>
    <row r="68" spans="23:23">
      <c r="W68">
        <f t="shared" ref="W68:W131" si="4">A68</f>
        <v>0</v>
      </c>
    </row>
    <row r="69" spans="23:23">
      <c r="W69">
        <f t="shared" si="4"/>
        <v>0</v>
      </c>
    </row>
    <row r="70" spans="23:23">
      <c r="W70">
        <f t="shared" si="4"/>
        <v>0</v>
      </c>
    </row>
    <row r="71" spans="23:23">
      <c r="W71">
        <f t="shared" si="4"/>
        <v>0</v>
      </c>
    </row>
    <row r="72" spans="23:23">
      <c r="W72">
        <f t="shared" si="4"/>
        <v>0</v>
      </c>
    </row>
    <row r="73" spans="23:23">
      <c r="W73">
        <f t="shared" si="4"/>
        <v>0</v>
      </c>
    </row>
    <row r="74" spans="23:23">
      <c r="W74">
        <f t="shared" si="4"/>
        <v>0</v>
      </c>
    </row>
    <row r="75" spans="23:23">
      <c r="W75">
        <f t="shared" si="4"/>
        <v>0</v>
      </c>
    </row>
    <row r="76" spans="23:23">
      <c r="W76">
        <f t="shared" si="4"/>
        <v>0</v>
      </c>
    </row>
    <row r="77" spans="23:23">
      <c r="W77">
        <f t="shared" si="4"/>
        <v>0</v>
      </c>
    </row>
    <row r="78" spans="23:23">
      <c r="W78">
        <f t="shared" si="4"/>
        <v>0</v>
      </c>
    </row>
    <row r="79" spans="23:23">
      <c r="W79">
        <f t="shared" si="4"/>
        <v>0</v>
      </c>
    </row>
    <row r="80" spans="23:23">
      <c r="W80">
        <f t="shared" si="4"/>
        <v>0</v>
      </c>
    </row>
    <row r="81" spans="23:23">
      <c r="W81">
        <f t="shared" si="4"/>
        <v>0</v>
      </c>
    </row>
    <row r="82" spans="23:23">
      <c r="W82">
        <f t="shared" si="4"/>
        <v>0</v>
      </c>
    </row>
    <row r="83" spans="23:23">
      <c r="W83">
        <f t="shared" si="4"/>
        <v>0</v>
      </c>
    </row>
    <row r="84" spans="23:23">
      <c r="W84">
        <f t="shared" si="4"/>
        <v>0</v>
      </c>
    </row>
    <row r="85" spans="23:23">
      <c r="W85">
        <f t="shared" si="4"/>
        <v>0</v>
      </c>
    </row>
    <row r="86" spans="23:23">
      <c r="W86">
        <f t="shared" si="4"/>
        <v>0</v>
      </c>
    </row>
    <row r="87" spans="23:23">
      <c r="W87">
        <f t="shared" si="4"/>
        <v>0</v>
      </c>
    </row>
    <row r="88" spans="23:23">
      <c r="W88">
        <f t="shared" si="4"/>
        <v>0</v>
      </c>
    </row>
    <row r="89" spans="23:23">
      <c r="W89">
        <f t="shared" si="4"/>
        <v>0</v>
      </c>
    </row>
    <row r="90" spans="23:23">
      <c r="W90">
        <f t="shared" si="4"/>
        <v>0</v>
      </c>
    </row>
    <row r="91" spans="23:23">
      <c r="W91">
        <f t="shared" si="4"/>
        <v>0</v>
      </c>
    </row>
    <row r="92" spans="23:23">
      <c r="W92">
        <f t="shared" si="4"/>
        <v>0</v>
      </c>
    </row>
    <row r="93" spans="23:23">
      <c r="W93">
        <f t="shared" si="4"/>
        <v>0</v>
      </c>
    </row>
    <row r="94" spans="23:23">
      <c r="W94">
        <f t="shared" si="4"/>
        <v>0</v>
      </c>
    </row>
    <row r="95" spans="23:23">
      <c r="W95">
        <f t="shared" si="4"/>
        <v>0</v>
      </c>
    </row>
    <row r="96" spans="23:23">
      <c r="W96">
        <f t="shared" si="4"/>
        <v>0</v>
      </c>
    </row>
    <row r="97" spans="23:23">
      <c r="W97">
        <f t="shared" si="4"/>
        <v>0</v>
      </c>
    </row>
    <row r="98" spans="23:23">
      <c r="W98">
        <f t="shared" si="4"/>
        <v>0</v>
      </c>
    </row>
    <row r="99" spans="23:23">
      <c r="W99">
        <f t="shared" si="4"/>
        <v>0</v>
      </c>
    </row>
    <row r="100" spans="23:23">
      <c r="W100">
        <f t="shared" si="4"/>
        <v>0</v>
      </c>
    </row>
    <row r="101" spans="23:23">
      <c r="W101">
        <f t="shared" si="4"/>
        <v>0</v>
      </c>
    </row>
    <row r="102" spans="23:23">
      <c r="W102">
        <f t="shared" si="4"/>
        <v>0</v>
      </c>
    </row>
    <row r="103" spans="23:23">
      <c r="W103">
        <f t="shared" si="4"/>
        <v>0</v>
      </c>
    </row>
    <row r="104" spans="23:23">
      <c r="W104">
        <f t="shared" si="4"/>
        <v>0</v>
      </c>
    </row>
    <row r="105" spans="23:23">
      <c r="W105">
        <f t="shared" si="4"/>
        <v>0</v>
      </c>
    </row>
    <row r="106" spans="23:23">
      <c r="W106">
        <f t="shared" si="4"/>
        <v>0</v>
      </c>
    </row>
    <row r="107" spans="23:23">
      <c r="W107">
        <f t="shared" si="4"/>
        <v>0</v>
      </c>
    </row>
    <row r="108" spans="23:23">
      <c r="W108">
        <f t="shared" si="4"/>
        <v>0</v>
      </c>
    </row>
    <row r="109" spans="23:23">
      <c r="W109">
        <f t="shared" si="4"/>
        <v>0</v>
      </c>
    </row>
    <row r="110" spans="23:23">
      <c r="W110">
        <f t="shared" si="4"/>
        <v>0</v>
      </c>
    </row>
    <row r="111" spans="23:23">
      <c r="W111">
        <f t="shared" si="4"/>
        <v>0</v>
      </c>
    </row>
    <row r="112" spans="23:23">
      <c r="W112">
        <f t="shared" si="4"/>
        <v>0</v>
      </c>
    </row>
    <row r="113" spans="23:23">
      <c r="W113">
        <f t="shared" si="4"/>
        <v>0</v>
      </c>
    </row>
    <row r="114" spans="23:23">
      <c r="W114">
        <f t="shared" si="4"/>
        <v>0</v>
      </c>
    </row>
    <row r="115" spans="23:23">
      <c r="W115">
        <f t="shared" si="4"/>
        <v>0</v>
      </c>
    </row>
    <row r="116" spans="23:23">
      <c r="W116">
        <f t="shared" si="4"/>
        <v>0</v>
      </c>
    </row>
    <row r="117" spans="23:23">
      <c r="W117">
        <f t="shared" si="4"/>
        <v>0</v>
      </c>
    </row>
    <row r="118" spans="23:23">
      <c r="W118">
        <f t="shared" si="4"/>
        <v>0</v>
      </c>
    </row>
    <row r="119" spans="23:23">
      <c r="W119">
        <f t="shared" si="4"/>
        <v>0</v>
      </c>
    </row>
    <row r="120" spans="23:23">
      <c r="W120">
        <f t="shared" si="4"/>
        <v>0</v>
      </c>
    </row>
    <row r="121" spans="23:23">
      <c r="W121">
        <f t="shared" si="4"/>
        <v>0</v>
      </c>
    </row>
    <row r="122" spans="23:23">
      <c r="W122">
        <f t="shared" si="4"/>
        <v>0</v>
      </c>
    </row>
    <row r="123" spans="23:23">
      <c r="W123">
        <f t="shared" si="4"/>
        <v>0</v>
      </c>
    </row>
    <row r="124" spans="23:23">
      <c r="W124">
        <f t="shared" si="4"/>
        <v>0</v>
      </c>
    </row>
    <row r="125" spans="23:23">
      <c r="W125">
        <f t="shared" si="4"/>
        <v>0</v>
      </c>
    </row>
    <row r="126" spans="23:23">
      <c r="W126">
        <f t="shared" si="4"/>
        <v>0</v>
      </c>
    </row>
    <row r="127" spans="23:23">
      <c r="W127">
        <f t="shared" si="4"/>
        <v>0</v>
      </c>
    </row>
    <row r="128" spans="23:23">
      <c r="W128">
        <f t="shared" si="4"/>
        <v>0</v>
      </c>
    </row>
    <row r="129" spans="23:23">
      <c r="W129">
        <f t="shared" si="4"/>
        <v>0</v>
      </c>
    </row>
    <row r="130" spans="23:23">
      <c r="W130">
        <f t="shared" si="4"/>
        <v>0</v>
      </c>
    </row>
    <row r="131" spans="23:23">
      <c r="W131">
        <f t="shared" si="4"/>
        <v>0</v>
      </c>
    </row>
    <row r="132" spans="23:23">
      <c r="W132">
        <f t="shared" ref="W132:W195" si="5">A132</f>
        <v>0</v>
      </c>
    </row>
    <row r="133" spans="23:23">
      <c r="W133">
        <f t="shared" si="5"/>
        <v>0</v>
      </c>
    </row>
    <row r="134" spans="23:23">
      <c r="W134">
        <f t="shared" si="5"/>
        <v>0</v>
      </c>
    </row>
    <row r="135" spans="23:23">
      <c r="W135">
        <f t="shared" si="5"/>
        <v>0</v>
      </c>
    </row>
    <row r="136" spans="23:23">
      <c r="W136">
        <f t="shared" si="5"/>
        <v>0</v>
      </c>
    </row>
    <row r="137" spans="23:23">
      <c r="W137">
        <f t="shared" si="5"/>
        <v>0</v>
      </c>
    </row>
    <row r="138" spans="23:23">
      <c r="W138">
        <f t="shared" si="5"/>
        <v>0</v>
      </c>
    </row>
    <row r="139" spans="23:23">
      <c r="W139">
        <f t="shared" si="5"/>
        <v>0</v>
      </c>
    </row>
    <row r="140" spans="23:23">
      <c r="W140">
        <f t="shared" si="5"/>
        <v>0</v>
      </c>
    </row>
    <row r="141" spans="23:23">
      <c r="W141">
        <f t="shared" si="5"/>
        <v>0</v>
      </c>
    </row>
    <row r="142" spans="23:23">
      <c r="W142">
        <f t="shared" si="5"/>
        <v>0</v>
      </c>
    </row>
    <row r="143" spans="23:23">
      <c r="W143">
        <f t="shared" si="5"/>
        <v>0</v>
      </c>
    </row>
    <row r="144" spans="23:23">
      <c r="W144">
        <f t="shared" si="5"/>
        <v>0</v>
      </c>
    </row>
    <row r="145" spans="23:23">
      <c r="W145">
        <f t="shared" si="5"/>
        <v>0</v>
      </c>
    </row>
    <row r="146" spans="23:23">
      <c r="W146">
        <f t="shared" si="5"/>
        <v>0</v>
      </c>
    </row>
    <row r="147" spans="23:23">
      <c r="W147">
        <f t="shared" si="5"/>
        <v>0</v>
      </c>
    </row>
    <row r="148" spans="23:23">
      <c r="W148">
        <f t="shared" si="5"/>
        <v>0</v>
      </c>
    </row>
    <row r="149" spans="23:23">
      <c r="W149">
        <f t="shared" si="5"/>
        <v>0</v>
      </c>
    </row>
    <row r="150" spans="23:23">
      <c r="W150">
        <f t="shared" si="5"/>
        <v>0</v>
      </c>
    </row>
    <row r="151" spans="23:23">
      <c r="W151">
        <f t="shared" si="5"/>
        <v>0</v>
      </c>
    </row>
    <row r="152" spans="23:23">
      <c r="W152">
        <f t="shared" si="5"/>
        <v>0</v>
      </c>
    </row>
    <row r="153" spans="23:23">
      <c r="W153">
        <f t="shared" si="5"/>
        <v>0</v>
      </c>
    </row>
    <row r="154" spans="23:23">
      <c r="W154">
        <f t="shared" si="5"/>
        <v>0</v>
      </c>
    </row>
    <row r="155" spans="23:23">
      <c r="W155">
        <f t="shared" si="5"/>
        <v>0</v>
      </c>
    </row>
    <row r="156" spans="23:23">
      <c r="W156">
        <f t="shared" si="5"/>
        <v>0</v>
      </c>
    </row>
    <row r="157" spans="23:23">
      <c r="W157">
        <f t="shared" si="5"/>
        <v>0</v>
      </c>
    </row>
    <row r="158" spans="23:23">
      <c r="W158">
        <f t="shared" si="5"/>
        <v>0</v>
      </c>
    </row>
    <row r="159" spans="23:23">
      <c r="W159">
        <f t="shared" si="5"/>
        <v>0</v>
      </c>
    </row>
    <row r="160" spans="23:23">
      <c r="W160">
        <f t="shared" si="5"/>
        <v>0</v>
      </c>
    </row>
    <row r="161" spans="23:23">
      <c r="W161">
        <f t="shared" si="5"/>
        <v>0</v>
      </c>
    </row>
    <row r="162" spans="23:23">
      <c r="W162">
        <f t="shared" si="5"/>
        <v>0</v>
      </c>
    </row>
    <row r="163" spans="23:23">
      <c r="W163">
        <f t="shared" si="5"/>
        <v>0</v>
      </c>
    </row>
    <row r="164" spans="23:23">
      <c r="W164">
        <f t="shared" si="5"/>
        <v>0</v>
      </c>
    </row>
    <row r="165" spans="23:23">
      <c r="W165">
        <f t="shared" si="5"/>
        <v>0</v>
      </c>
    </row>
    <row r="166" spans="23:23">
      <c r="W166">
        <f t="shared" si="5"/>
        <v>0</v>
      </c>
    </row>
    <row r="167" spans="23:23">
      <c r="W167">
        <f t="shared" si="5"/>
        <v>0</v>
      </c>
    </row>
    <row r="168" spans="23:23">
      <c r="W168">
        <f t="shared" si="5"/>
        <v>0</v>
      </c>
    </row>
    <row r="169" spans="23:23">
      <c r="W169">
        <f t="shared" si="5"/>
        <v>0</v>
      </c>
    </row>
    <row r="170" spans="23:23">
      <c r="W170">
        <f t="shared" si="5"/>
        <v>0</v>
      </c>
    </row>
    <row r="171" spans="23:23">
      <c r="W171">
        <f t="shared" si="5"/>
        <v>0</v>
      </c>
    </row>
    <row r="172" spans="23:23">
      <c r="W172">
        <f t="shared" si="5"/>
        <v>0</v>
      </c>
    </row>
    <row r="173" spans="23:23">
      <c r="W173">
        <f t="shared" si="5"/>
        <v>0</v>
      </c>
    </row>
    <row r="174" spans="23:23">
      <c r="W174">
        <f t="shared" si="5"/>
        <v>0</v>
      </c>
    </row>
    <row r="175" spans="23:23">
      <c r="W175">
        <f t="shared" si="5"/>
        <v>0</v>
      </c>
    </row>
    <row r="176" spans="23:23">
      <c r="W176">
        <f t="shared" si="5"/>
        <v>0</v>
      </c>
    </row>
    <row r="177" spans="23:23">
      <c r="W177">
        <f t="shared" si="5"/>
        <v>0</v>
      </c>
    </row>
    <row r="178" spans="23:23">
      <c r="W178">
        <f t="shared" si="5"/>
        <v>0</v>
      </c>
    </row>
    <row r="179" spans="23:23">
      <c r="W179">
        <f t="shared" si="5"/>
        <v>0</v>
      </c>
    </row>
    <row r="180" spans="23:23">
      <c r="W180">
        <f t="shared" si="5"/>
        <v>0</v>
      </c>
    </row>
    <row r="181" spans="23:23">
      <c r="W181">
        <f t="shared" si="5"/>
        <v>0</v>
      </c>
    </row>
    <row r="182" spans="23:23">
      <c r="W182">
        <f t="shared" si="5"/>
        <v>0</v>
      </c>
    </row>
    <row r="183" spans="23:23">
      <c r="W183">
        <f t="shared" si="5"/>
        <v>0</v>
      </c>
    </row>
    <row r="184" spans="23:23">
      <c r="W184">
        <f t="shared" si="5"/>
        <v>0</v>
      </c>
    </row>
    <row r="185" spans="23:23">
      <c r="W185">
        <f t="shared" si="5"/>
        <v>0</v>
      </c>
    </row>
    <row r="186" spans="23:23">
      <c r="W186">
        <f t="shared" si="5"/>
        <v>0</v>
      </c>
    </row>
    <row r="187" spans="23:23">
      <c r="W187">
        <f t="shared" si="5"/>
        <v>0</v>
      </c>
    </row>
    <row r="188" spans="23:23">
      <c r="W188">
        <f t="shared" si="5"/>
        <v>0</v>
      </c>
    </row>
    <row r="189" spans="23:23">
      <c r="W189">
        <f t="shared" si="5"/>
        <v>0</v>
      </c>
    </row>
    <row r="190" spans="23:23">
      <c r="W190">
        <f t="shared" si="5"/>
        <v>0</v>
      </c>
    </row>
    <row r="191" spans="23:23">
      <c r="W191">
        <f t="shared" si="5"/>
        <v>0</v>
      </c>
    </row>
    <row r="192" spans="23:23">
      <c r="W192">
        <f t="shared" si="5"/>
        <v>0</v>
      </c>
    </row>
    <row r="193" spans="23:23">
      <c r="W193">
        <f t="shared" si="5"/>
        <v>0</v>
      </c>
    </row>
    <row r="194" spans="23:23">
      <c r="W194">
        <f t="shared" si="5"/>
        <v>0</v>
      </c>
    </row>
    <row r="195" spans="23:23">
      <c r="W195">
        <f t="shared" si="5"/>
        <v>0</v>
      </c>
    </row>
    <row r="196" spans="23:23">
      <c r="W196">
        <f t="shared" ref="W196:W259" si="6">A196</f>
        <v>0</v>
      </c>
    </row>
    <row r="197" spans="23:23">
      <c r="W197">
        <f t="shared" si="6"/>
        <v>0</v>
      </c>
    </row>
    <row r="198" spans="23:23">
      <c r="W198">
        <f t="shared" si="6"/>
        <v>0</v>
      </c>
    </row>
    <row r="199" spans="23:23">
      <c r="W199">
        <f t="shared" si="6"/>
        <v>0</v>
      </c>
    </row>
    <row r="200" spans="23:23">
      <c r="W200">
        <f t="shared" si="6"/>
        <v>0</v>
      </c>
    </row>
    <row r="201" spans="23:23">
      <c r="W201">
        <f t="shared" si="6"/>
        <v>0</v>
      </c>
    </row>
    <row r="202" spans="23:23">
      <c r="W202">
        <f t="shared" si="6"/>
        <v>0</v>
      </c>
    </row>
    <row r="203" spans="23:23">
      <c r="W203">
        <f t="shared" si="6"/>
        <v>0</v>
      </c>
    </row>
    <row r="204" spans="23:23">
      <c r="W204">
        <f t="shared" si="6"/>
        <v>0</v>
      </c>
    </row>
    <row r="205" spans="23:23">
      <c r="W205">
        <f t="shared" si="6"/>
        <v>0</v>
      </c>
    </row>
    <row r="206" spans="23:23">
      <c r="W206">
        <f t="shared" si="6"/>
        <v>0</v>
      </c>
    </row>
    <row r="207" spans="23:23">
      <c r="W207">
        <f t="shared" si="6"/>
        <v>0</v>
      </c>
    </row>
    <row r="208" spans="23:23">
      <c r="W208">
        <f t="shared" si="6"/>
        <v>0</v>
      </c>
    </row>
    <row r="209" spans="23:23">
      <c r="W209">
        <f t="shared" si="6"/>
        <v>0</v>
      </c>
    </row>
    <row r="210" spans="23:23">
      <c r="W210">
        <f t="shared" si="6"/>
        <v>0</v>
      </c>
    </row>
    <row r="211" spans="23:23">
      <c r="W211">
        <f t="shared" si="6"/>
        <v>0</v>
      </c>
    </row>
    <row r="212" spans="23:23">
      <c r="W212">
        <f t="shared" si="6"/>
        <v>0</v>
      </c>
    </row>
    <row r="213" spans="23:23">
      <c r="W213">
        <f t="shared" si="6"/>
        <v>0</v>
      </c>
    </row>
    <row r="214" spans="23:23">
      <c r="W214">
        <f t="shared" si="6"/>
        <v>0</v>
      </c>
    </row>
    <row r="215" spans="23:23">
      <c r="W215">
        <f t="shared" si="6"/>
        <v>0</v>
      </c>
    </row>
    <row r="216" spans="23:23">
      <c r="W216">
        <f t="shared" si="6"/>
        <v>0</v>
      </c>
    </row>
    <row r="217" spans="23:23">
      <c r="W217">
        <f t="shared" si="6"/>
        <v>0</v>
      </c>
    </row>
    <row r="218" spans="23:23">
      <c r="W218">
        <f t="shared" si="6"/>
        <v>0</v>
      </c>
    </row>
    <row r="219" spans="23:23">
      <c r="W219">
        <f t="shared" si="6"/>
        <v>0</v>
      </c>
    </row>
    <row r="220" spans="23:23">
      <c r="W220">
        <f t="shared" si="6"/>
        <v>0</v>
      </c>
    </row>
    <row r="221" spans="23:23">
      <c r="W221">
        <f t="shared" si="6"/>
        <v>0</v>
      </c>
    </row>
    <row r="222" spans="23:23">
      <c r="W222">
        <f t="shared" si="6"/>
        <v>0</v>
      </c>
    </row>
    <row r="223" spans="23:23">
      <c r="W223">
        <f t="shared" si="6"/>
        <v>0</v>
      </c>
    </row>
    <row r="224" spans="23:23">
      <c r="W224">
        <f t="shared" si="6"/>
        <v>0</v>
      </c>
    </row>
    <row r="225" spans="23:23">
      <c r="W225">
        <f t="shared" si="6"/>
        <v>0</v>
      </c>
    </row>
    <row r="226" spans="23:23">
      <c r="W226">
        <f t="shared" si="6"/>
        <v>0</v>
      </c>
    </row>
    <row r="227" spans="23:23">
      <c r="W227">
        <f t="shared" si="6"/>
        <v>0</v>
      </c>
    </row>
    <row r="228" spans="23:23">
      <c r="W228">
        <f t="shared" si="6"/>
        <v>0</v>
      </c>
    </row>
    <row r="229" spans="23:23">
      <c r="W229">
        <f t="shared" si="6"/>
        <v>0</v>
      </c>
    </row>
    <row r="230" spans="23:23">
      <c r="W230">
        <f t="shared" si="6"/>
        <v>0</v>
      </c>
    </row>
    <row r="231" spans="23:23">
      <c r="W231">
        <f t="shared" si="6"/>
        <v>0</v>
      </c>
    </row>
    <row r="232" spans="23:23">
      <c r="W232">
        <f t="shared" si="6"/>
        <v>0</v>
      </c>
    </row>
    <row r="233" spans="23:23">
      <c r="W233">
        <f t="shared" si="6"/>
        <v>0</v>
      </c>
    </row>
    <row r="234" spans="23:23">
      <c r="W234">
        <f t="shared" si="6"/>
        <v>0</v>
      </c>
    </row>
    <row r="235" spans="23:23">
      <c r="W235">
        <f t="shared" si="6"/>
        <v>0</v>
      </c>
    </row>
    <row r="236" spans="23:23">
      <c r="W236">
        <f t="shared" si="6"/>
        <v>0</v>
      </c>
    </row>
    <row r="237" spans="23:23">
      <c r="W237">
        <f t="shared" si="6"/>
        <v>0</v>
      </c>
    </row>
    <row r="238" spans="23:23">
      <c r="W238">
        <f t="shared" si="6"/>
        <v>0</v>
      </c>
    </row>
    <row r="239" spans="23:23">
      <c r="W239">
        <f t="shared" si="6"/>
        <v>0</v>
      </c>
    </row>
    <row r="240" spans="23:23">
      <c r="W240">
        <f t="shared" si="6"/>
        <v>0</v>
      </c>
    </row>
    <row r="241" spans="23:23">
      <c r="W241">
        <f t="shared" si="6"/>
        <v>0</v>
      </c>
    </row>
    <row r="242" spans="23:23">
      <c r="W242">
        <f t="shared" si="6"/>
        <v>0</v>
      </c>
    </row>
    <row r="243" spans="23:23">
      <c r="W243">
        <f t="shared" si="6"/>
        <v>0</v>
      </c>
    </row>
    <row r="244" spans="23:23">
      <c r="W244">
        <f t="shared" si="6"/>
        <v>0</v>
      </c>
    </row>
    <row r="245" spans="23:23">
      <c r="W245">
        <f t="shared" si="6"/>
        <v>0</v>
      </c>
    </row>
    <row r="246" spans="23:23">
      <c r="W246">
        <f t="shared" si="6"/>
        <v>0</v>
      </c>
    </row>
    <row r="247" spans="23:23">
      <c r="W247">
        <f t="shared" si="6"/>
        <v>0</v>
      </c>
    </row>
    <row r="248" spans="23:23">
      <c r="W248">
        <f t="shared" si="6"/>
        <v>0</v>
      </c>
    </row>
    <row r="249" spans="23:23">
      <c r="W249">
        <f t="shared" si="6"/>
        <v>0</v>
      </c>
    </row>
    <row r="250" spans="23:23">
      <c r="W250">
        <f t="shared" si="6"/>
        <v>0</v>
      </c>
    </row>
    <row r="251" spans="23:23">
      <c r="W251">
        <f t="shared" si="6"/>
        <v>0</v>
      </c>
    </row>
    <row r="252" spans="23:23">
      <c r="W252">
        <f t="shared" si="6"/>
        <v>0</v>
      </c>
    </row>
    <row r="253" spans="23:23">
      <c r="W253">
        <f t="shared" si="6"/>
        <v>0</v>
      </c>
    </row>
    <row r="254" spans="23:23">
      <c r="W254">
        <f t="shared" si="6"/>
        <v>0</v>
      </c>
    </row>
    <row r="255" spans="23:23">
      <c r="W255">
        <f t="shared" si="6"/>
        <v>0</v>
      </c>
    </row>
    <row r="256" spans="23:23">
      <c r="W256">
        <f t="shared" si="6"/>
        <v>0</v>
      </c>
    </row>
    <row r="257" spans="23:23">
      <c r="W257">
        <f t="shared" si="6"/>
        <v>0</v>
      </c>
    </row>
    <row r="258" spans="23:23">
      <c r="W258">
        <f t="shared" si="6"/>
        <v>0</v>
      </c>
    </row>
    <row r="259" spans="23:23">
      <c r="W259">
        <f t="shared" si="6"/>
        <v>0</v>
      </c>
    </row>
    <row r="260" spans="23:23">
      <c r="W260">
        <f t="shared" ref="W260:W323" si="7">A260</f>
        <v>0</v>
      </c>
    </row>
    <row r="261" spans="23:23">
      <c r="W261">
        <f t="shared" si="7"/>
        <v>0</v>
      </c>
    </row>
    <row r="262" spans="23:23">
      <c r="W262">
        <f t="shared" si="7"/>
        <v>0</v>
      </c>
    </row>
    <row r="263" spans="23:23">
      <c r="W263">
        <f t="shared" si="7"/>
        <v>0</v>
      </c>
    </row>
    <row r="264" spans="23:23">
      <c r="W264">
        <f t="shared" si="7"/>
        <v>0</v>
      </c>
    </row>
    <row r="265" spans="23:23">
      <c r="W265">
        <f t="shared" si="7"/>
        <v>0</v>
      </c>
    </row>
    <row r="266" spans="23:23">
      <c r="W266">
        <f t="shared" si="7"/>
        <v>0</v>
      </c>
    </row>
    <row r="267" spans="23:23">
      <c r="W267">
        <f t="shared" si="7"/>
        <v>0</v>
      </c>
    </row>
    <row r="268" spans="23:23">
      <c r="W268">
        <f t="shared" si="7"/>
        <v>0</v>
      </c>
    </row>
    <row r="269" spans="23:23">
      <c r="W269">
        <f t="shared" si="7"/>
        <v>0</v>
      </c>
    </row>
    <row r="270" spans="23:23">
      <c r="W270">
        <f t="shared" si="7"/>
        <v>0</v>
      </c>
    </row>
    <row r="271" spans="23:23">
      <c r="W271">
        <f t="shared" si="7"/>
        <v>0</v>
      </c>
    </row>
    <row r="272" spans="23:23">
      <c r="W272">
        <f t="shared" si="7"/>
        <v>0</v>
      </c>
    </row>
    <row r="273" spans="23:23">
      <c r="W273">
        <f t="shared" si="7"/>
        <v>0</v>
      </c>
    </row>
    <row r="274" spans="23:23">
      <c r="W274">
        <f t="shared" si="7"/>
        <v>0</v>
      </c>
    </row>
    <row r="275" spans="23:23">
      <c r="W275">
        <f t="shared" si="7"/>
        <v>0</v>
      </c>
    </row>
    <row r="276" spans="23:23">
      <c r="W276">
        <f t="shared" si="7"/>
        <v>0</v>
      </c>
    </row>
    <row r="277" spans="23:23">
      <c r="W277">
        <f t="shared" si="7"/>
        <v>0</v>
      </c>
    </row>
    <row r="278" spans="23:23">
      <c r="W278">
        <f t="shared" si="7"/>
        <v>0</v>
      </c>
    </row>
    <row r="279" spans="23:23">
      <c r="W279">
        <f t="shared" si="7"/>
        <v>0</v>
      </c>
    </row>
    <row r="280" spans="23:23">
      <c r="W280">
        <f t="shared" si="7"/>
        <v>0</v>
      </c>
    </row>
    <row r="281" spans="23:23">
      <c r="W281">
        <f t="shared" si="7"/>
        <v>0</v>
      </c>
    </row>
    <row r="282" spans="23:23">
      <c r="W282">
        <f t="shared" si="7"/>
        <v>0</v>
      </c>
    </row>
    <row r="283" spans="23:23">
      <c r="W283">
        <f t="shared" si="7"/>
        <v>0</v>
      </c>
    </row>
    <row r="284" spans="23:23">
      <c r="W284">
        <f t="shared" si="7"/>
        <v>0</v>
      </c>
    </row>
    <row r="285" spans="23:23">
      <c r="W285">
        <f t="shared" si="7"/>
        <v>0</v>
      </c>
    </row>
    <row r="286" spans="23:23">
      <c r="W286">
        <f t="shared" si="7"/>
        <v>0</v>
      </c>
    </row>
    <row r="287" spans="23:23">
      <c r="W287">
        <f t="shared" si="7"/>
        <v>0</v>
      </c>
    </row>
    <row r="288" spans="23:23">
      <c r="W288">
        <f t="shared" si="7"/>
        <v>0</v>
      </c>
    </row>
    <row r="289" spans="23:23">
      <c r="W289">
        <f t="shared" si="7"/>
        <v>0</v>
      </c>
    </row>
    <row r="290" spans="23:23">
      <c r="W290">
        <f t="shared" si="7"/>
        <v>0</v>
      </c>
    </row>
    <row r="291" spans="23:23">
      <c r="W291">
        <f t="shared" si="7"/>
        <v>0</v>
      </c>
    </row>
    <row r="292" spans="23:23">
      <c r="W292">
        <f t="shared" si="7"/>
        <v>0</v>
      </c>
    </row>
    <row r="293" spans="23:23">
      <c r="W293">
        <f t="shared" si="7"/>
        <v>0</v>
      </c>
    </row>
    <row r="294" spans="23:23">
      <c r="W294">
        <f t="shared" si="7"/>
        <v>0</v>
      </c>
    </row>
    <row r="295" spans="23:23">
      <c r="W295">
        <f t="shared" si="7"/>
        <v>0</v>
      </c>
    </row>
    <row r="296" spans="23:23">
      <c r="W296">
        <f t="shared" si="7"/>
        <v>0</v>
      </c>
    </row>
    <row r="297" spans="23:23">
      <c r="W297">
        <f t="shared" si="7"/>
        <v>0</v>
      </c>
    </row>
    <row r="298" spans="23:23">
      <c r="W298">
        <f t="shared" si="7"/>
        <v>0</v>
      </c>
    </row>
    <row r="299" spans="23:23">
      <c r="W299">
        <f t="shared" si="7"/>
        <v>0</v>
      </c>
    </row>
    <row r="300" spans="23:23">
      <c r="W300">
        <f t="shared" si="7"/>
        <v>0</v>
      </c>
    </row>
    <row r="301" spans="23:23">
      <c r="W301">
        <f t="shared" si="7"/>
        <v>0</v>
      </c>
    </row>
    <row r="302" spans="23:23">
      <c r="W302">
        <f t="shared" si="7"/>
        <v>0</v>
      </c>
    </row>
    <row r="303" spans="23:23">
      <c r="W303">
        <f t="shared" si="7"/>
        <v>0</v>
      </c>
    </row>
    <row r="304" spans="23:23">
      <c r="W304">
        <f t="shared" si="7"/>
        <v>0</v>
      </c>
    </row>
    <row r="305" spans="23:23">
      <c r="W305">
        <f t="shared" si="7"/>
        <v>0</v>
      </c>
    </row>
    <row r="306" spans="23:23">
      <c r="W306">
        <f t="shared" si="7"/>
        <v>0</v>
      </c>
    </row>
    <row r="307" spans="23:23">
      <c r="W307">
        <f t="shared" si="7"/>
        <v>0</v>
      </c>
    </row>
    <row r="308" spans="23:23">
      <c r="W308">
        <f t="shared" si="7"/>
        <v>0</v>
      </c>
    </row>
    <row r="309" spans="23:23">
      <c r="W309">
        <f t="shared" si="7"/>
        <v>0</v>
      </c>
    </row>
    <row r="310" spans="23:23">
      <c r="W310">
        <f t="shared" si="7"/>
        <v>0</v>
      </c>
    </row>
    <row r="311" spans="23:23">
      <c r="W311">
        <f t="shared" si="7"/>
        <v>0</v>
      </c>
    </row>
    <row r="312" spans="23:23">
      <c r="W312">
        <f t="shared" si="7"/>
        <v>0</v>
      </c>
    </row>
    <row r="313" spans="23:23">
      <c r="W313">
        <f t="shared" si="7"/>
        <v>0</v>
      </c>
    </row>
    <row r="314" spans="23:23">
      <c r="W314">
        <f t="shared" si="7"/>
        <v>0</v>
      </c>
    </row>
    <row r="315" spans="23:23">
      <c r="W315">
        <f t="shared" si="7"/>
        <v>0</v>
      </c>
    </row>
    <row r="316" spans="23:23">
      <c r="W316">
        <f t="shared" si="7"/>
        <v>0</v>
      </c>
    </row>
    <row r="317" spans="23:23">
      <c r="W317">
        <f t="shared" si="7"/>
        <v>0</v>
      </c>
    </row>
    <row r="318" spans="23:23">
      <c r="W318">
        <f t="shared" si="7"/>
        <v>0</v>
      </c>
    </row>
    <row r="319" spans="23:23">
      <c r="W319">
        <f t="shared" si="7"/>
        <v>0</v>
      </c>
    </row>
    <row r="320" spans="23:23">
      <c r="W320">
        <f t="shared" si="7"/>
        <v>0</v>
      </c>
    </row>
    <row r="321" spans="23:23">
      <c r="W321">
        <f t="shared" si="7"/>
        <v>0</v>
      </c>
    </row>
    <row r="322" spans="23:23">
      <c r="W322">
        <f t="shared" si="7"/>
        <v>0</v>
      </c>
    </row>
    <row r="323" spans="23:23">
      <c r="W323">
        <f t="shared" si="7"/>
        <v>0</v>
      </c>
    </row>
    <row r="324" spans="23:23">
      <c r="W324">
        <f t="shared" ref="W324:W387" si="8">A324</f>
        <v>0</v>
      </c>
    </row>
    <row r="325" spans="23:23">
      <c r="W325">
        <f t="shared" si="8"/>
        <v>0</v>
      </c>
    </row>
    <row r="326" spans="23:23">
      <c r="W326">
        <f t="shared" si="8"/>
        <v>0</v>
      </c>
    </row>
    <row r="327" spans="23:23">
      <c r="W327">
        <f t="shared" si="8"/>
        <v>0</v>
      </c>
    </row>
    <row r="328" spans="23:23">
      <c r="W328">
        <f t="shared" si="8"/>
        <v>0</v>
      </c>
    </row>
    <row r="329" spans="23:23">
      <c r="W329">
        <f t="shared" si="8"/>
        <v>0</v>
      </c>
    </row>
    <row r="330" spans="23:23">
      <c r="W330">
        <f t="shared" si="8"/>
        <v>0</v>
      </c>
    </row>
    <row r="331" spans="23:23">
      <c r="W331">
        <f t="shared" si="8"/>
        <v>0</v>
      </c>
    </row>
    <row r="332" spans="23:23">
      <c r="W332">
        <f t="shared" si="8"/>
        <v>0</v>
      </c>
    </row>
    <row r="333" spans="23:23">
      <c r="W333">
        <f t="shared" si="8"/>
        <v>0</v>
      </c>
    </row>
    <row r="334" spans="23:23">
      <c r="W334">
        <f t="shared" si="8"/>
        <v>0</v>
      </c>
    </row>
    <row r="335" spans="23:23">
      <c r="W335">
        <f t="shared" si="8"/>
        <v>0</v>
      </c>
    </row>
    <row r="336" spans="23:23">
      <c r="W336">
        <f t="shared" si="8"/>
        <v>0</v>
      </c>
    </row>
    <row r="337" spans="23:23">
      <c r="W337">
        <f t="shared" si="8"/>
        <v>0</v>
      </c>
    </row>
    <row r="338" spans="23:23">
      <c r="W338">
        <f t="shared" si="8"/>
        <v>0</v>
      </c>
    </row>
    <row r="339" spans="23:23">
      <c r="W339">
        <f t="shared" si="8"/>
        <v>0</v>
      </c>
    </row>
    <row r="340" spans="23:23">
      <c r="W340">
        <f t="shared" si="8"/>
        <v>0</v>
      </c>
    </row>
    <row r="341" spans="23:23">
      <c r="W341">
        <f t="shared" si="8"/>
        <v>0</v>
      </c>
    </row>
    <row r="342" spans="23:23">
      <c r="W342">
        <f t="shared" si="8"/>
        <v>0</v>
      </c>
    </row>
    <row r="343" spans="23:23">
      <c r="W343">
        <f t="shared" si="8"/>
        <v>0</v>
      </c>
    </row>
    <row r="344" spans="23:23">
      <c r="W344">
        <f t="shared" si="8"/>
        <v>0</v>
      </c>
    </row>
    <row r="345" spans="23:23">
      <c r="W345">
        <f t="shared" si="8"/>
        <v>0</v>
      </c>
    </row>
    <row r="346" spans="23:23">
      <c r="W346">
        <f t="shared" si="8"/>
        <v>0</v>
      </c>
    </row>
    <row r="347" spans="23:23">
      <c r="W347">
        <f t="shared" si="8"/>
        <v>0</v>
      </c>
    </row>
    <row r="348" spans="23:23">
      <c r="W348">
        <f t="shared" si="8"/>
        <v>0</v>
      </c>
    </row>
    <row r="349" spans="23:23">
      <c r="W349">
        <f t="shared" si="8"/>
        <v>0</v>
      </c>
    </row>
    <row r="350" spans="23:23">
      <c r="W350">
        <f t="shared" si="8"/>
        <v>0</v>
      </c>
    </row>
    <row r="351" spans="23:23">
      <c r="W351">
        <f t="shared" si="8"/>
        <v>0</v>
      </c>
    </row>
    <row r="352" spans="23:23">
      <c r="W352">
        <f t="shared" si="8"/>
        <v>0</v>
      </c>
    </row>
    <row r="353" spans="23:23">
      <c r="W353">
        <f t="shared" si="8"/>
        <v>0</v>
      </c>
    </row>
    <row r="354" spans="23:23">
      <c r="W354">
        <f t="shared" si="8"/>
        <v>0</v>
      </c>
    </row>
    <row r="355" spans="23:23">
      <c r="W355">
        <f t="shared" si="8"/>
        <v>0</v>
      </c>
    </row>
    <row r="356" spans="23:23">
      <c r="W356">
        <f t="shared" si="8"/>
        <v>0</v>
      </c>
    </row>
    <row r="357" spans="23:23">
      <c r="W357">
        <f t="shared" si="8"/>
        <v>0</v>
      </c>
    </row>
    <row r="358" spans="23:23">
      <c r="W358">
        <f t="shared" si="8"/>
        <v>0</v>
      </c>
    </row>
    <row r="359" spans="23:23">
      <c r="W359">
        <f t="shared" si="8"/>
        <v>0</v>
      </c>
    </row>
    <row r="360" spans="23:23">
      <c r="W360">
        <f t="shared" si="8"/>
        <v>0</v>
      </c>
    </row>
    <row r="361" spans="23:23">
      <c r="W361">
        <f t="shared" si="8"/>
        <v>0</v>
      </c>
    </row>
    <row r="362" spans="23:23">
      <c r="W362">
        <f t="shared" si="8"/>
        <v>0</v>
      </c>
    </row>
    <row r="363" spans="23:23">
      <c r="W363">
        <f t="shared" si="8"/>
        <v>0</v>
      </c>
    </row>
    <row r="364" spans="23:23">
      <c r="W364">
        <f t="shared" si="8"/>
        <v>0</v>
      </c>
    </row>
    <row r="365" spans="23:23">
      <c r="W365">
        <f t="shared" si="8"/>
        <v>0</v>
      </c>
    </row>
    <row r="366" spans="23:23">
      <c r="W366">
        <f t="shared" si="8"/>
        <v>0</v>
      </c>
    </row>
    <row r="367" spans="23:23">
      <c r="W367">
        <f t="shared" si="8"/>
        <v>0</v>
      </c>
    </row>
    <row r="368" spans="23:23">
      <c r="W368">
        <f t="shared" si="8"/>
        <v>0</v>
      </c>
    </row>
    <row r="369" spans="23:23">
      <c r="W369">
        <f t="shared" si="8"/>
        <v>0</v>
      </c>
    </row>
    <row r="370" spans="23:23">
      <c r="W370">
        <f t="shared" si="8"/>
        <v>0</v>
      </c>
    </row>
    <row r="371" spans="23:23">
      <c r="W371">
        <f t="shared" si="8"/>
        <v>0</v>
      </c>
    </row>
    <row r="372" spans="23:23">
      <c r="W372">
        <f t="shared" si="8"/>
        <v>0</v>
      </c>
    </row>
    <row r="373" spans="23:23">
      <c r="W373">
        <f t="shared" si="8"/>
        <v>0</v>
      </c>
    </row>
    <row r="374" spans="23:23">
      <c r="W374">
        <f t="shared" si="8"/>
        <v>0</v>
      </c>
    </row>
    <row r="375" spans="23:23">
      <c r="W375">
        <f t="shared" si="8"/>
        <v>0</v>
      </c>
    </row>
    <row r="376" spans="23:23">
      <c r="W376">
        <f t="shared" si="8"/>
        <v>0</v>
      </c>
    </row>
    <row r="377" spans="23:23">
      <c r="W377">
        <f t="shared" si="8"/>
        <v>0</v>
      </c>
    </row>
    <row r="378" spans="23:23">
      <c r="W378">
        <f t="shared" si="8"/>
        <v>0</v>
      </c>
    </row>
    <row r="379" spans="23:23">
      <c r="W379">
        <f t="shared" si="8"/>
        <v>0</v>
      </c>
    </row>
    <row r="380" spans="23:23">
      <c r="W380">
        <f t="shared" si="8"/>
        <v>0</v>
      </c>
    </row>
    <row r="381" spans="23:23">
      <c r="W381">
        <f t="shared" si="8"/>
        <v>0</v>
      </c>
    </row>
    <row r="382" spans="23:23">
      <c r="W382">
        <f t="shared" si="8"/>
        <v>0</v>
      </c>
    </row>
    <row r="383" spans="23:23">
      <c r="W383">
        <f t="shared" si="8"/>
        <v>0</v>
      </c>
    </row>
    <row r="384" spans="23:23">
      <c r="W384">
        <f t="shared" si="8"/>
        <v>0</v>
      </c>
    </row>
    <row r="385" spans="23:23">
      <c r="W385">
        <f t="shared" si="8"/>
        <v>0</v>
      </c>
    </row>
    <row r="386" spans="23:23">
      <c r="W386">
        <f t="shared" si="8"/>
        <v>0</v>
      </c>
    </row>
    <row r="387" spans="23:23">
      <c r="W387">
        <f t="shared" si="8"/>
        <v>0</v>
      </c>
    </row>
    <row r="388" spans="23:23">
      <c r="W388">
        <f t="shared" ref="W388:W451" si="9">A388</f>
        <v>0</v>
      </c>
    </row>
    <row r="389" spans="23:23">
      <c r="W389">
        <f t="shared" si="9"/>
        <v>0</v>
      </c>
    </row>
    <row r="390" spans="23:23">
      <c r="W390">
        <f t="shared" si="9"/>
        <v>0</v>
      </c>
    </row>
    <row r="391" spans="23:23">
      <c r="W391">
        <f t="shared" si="9"/>
        <v>0</v>
      </c>
    </row>
    <row r="392" spans="23:23">
      <c r="W392">
        <f t="shared" si="9"/>
        <v>0</v>
      </c>
    </row>
    <row r="393" spans="23:23">
      <c r="W393">
        <f t="shared" si="9"/>
        <v>0</v>
      </c>
    </row>
    <row r="394" spans="23:23">
      <c r="W394">
        <f t="shared" si="9"/>
        <v>0</v>
      </c>
    </row>
    <row r="395" spans="23:23">
      <c r="W395">
        <f t="shared" si="9"/>
        <v>0</v>
      </c>
    </row>
    <row r="396" spans="23:23">
      <c r="W396">
        <f t="shared" si="9"/>
        <v>0</v>
      </c>
    </row>
    <row r="397" spans="23:23">
      <c r="W397">
        <f t="shared" si="9"/>
        <v>0</v>
      </c>
    </row>
    <row r="398" spans="23:23">
      <c r="W398">
        <f t="shared" si="9"/>
        <v>0</v>
      </c>
    </row>
    <row r="399" spans="23:23">
      <c r="W399">
        <f t="shared" si="9"/>
        <v>0</v>
      </c>
    </row>
    <row r="400" spans="23:23">
      <c r="W400">
        <f t="shared" si="9"/>
        <v>0</v>
      </c>
    </row>
    <row r="401" spans="23:23">
      <c r="W401">
        <f t="shared" si="9"/>
        <v>0</v>
      </c>
    </row>
    <row r="402" spans="23:23">
      <c r="W402">
        <f t="shared" si="9"/>
        <v>0</v>
      </c>
    </row>
    <row r="403" spans="23:23">
      <c r="W403">
        <f t="shared" si="9"/>
        <v>0</v>
      </c>
    </row>
    <row r="404" spans="23:23">
      <c r="W404">
        <f t="shared" si="9"/>
        <v>0</v>
      </c>
    </row>
    <row r="405" spans="23:23">
      <c r="W405">
        <f t="shared" si="9"/>
        <v>0</v>
      </c>
    </row>
    <row r="406" spans="23:23">
      <c r="W406">
        <f t="shared" si="9"/>
        <v>0</v>
      </c>
    </row>
    <row r="407" spans="23:23">
      <c r="W407">
        <f t="shared" si="9"/>
        <v>0</v>
      </c>
    </row>
    <row r="408" spans="23:23">
      <c r="W408">
        <f t="shared" si="9"/>
        <v>0</v>
      </c>
    </row>
    <row r="409" spans="23:23">
      <c r="W409">
        <f t="shared" si="9"/>
        <v>0</v>
      </c>
    </row>
    <row r="410" spans="23:23">
      <c r="W410">
        <f t="shared" si="9"/>
        <v>0</v>
      </c>
    </row>
    <row r="411" spans="23:23">
      <c r="W411">
        <f t="shared" si="9"/>
        <v>0</v>
      </c>
    </row>
    <row r="412" spans="23:23">
      <c r="W412">
        <f t="shared" si="9"/>
        <v>0</v>
      </c>
    </row>
    <row r="413" spans="23:23">
      <c r="W413">
        <f t="shared" si="9"/>
        <v>0</v>
      </c>
    </row>
    <row r="414" spans="23:23">
      <c r="W414">
        <f t="shared" si="9"/>
        <v>0</v>
      </c>
    </row>
    <row r="415" spans="23:23">
      <c r="W415">
        <f t="shared" si="9"/>
        <v>0</v>
      </c>
    </row>
    <row r="416" spans="23:23">
      <c r="W416">
        <f t="shared" si="9"/>
        <v>0</v>
      </c>
    </row>
    <row r="417" spans="23:23">
      <c r="W417">
        <f t="shared" si="9"/>
        <v>0</v>
      </c>
    </row>
    <row r="418" spans="23:23">
      <c r="W418">
        <f t="shared" si="9"/>
        <v>0</v>
      </c>
    </row>
    <row r="419" spans="23:23">
      <c r="W419">
        <f t="shared" si="9"/>
        <v>0</v>
      </c>
    </row>
    <row r="420" spans="23:23">
      <c r="W420">
        <f t="shared" si="9"/>
        <v>0</v>
      </c>
    </row>
    <row r="421" spans="23:23">
      <c r="W421">
        <f t="shared" si="9"/>
        <v>0</v>
      </c>
    </row>
    <row r="422" spans="23:23">
      <c r="W422">
        <f t="shared" si="9"/>
        <v>0</v>
      </c>
    </row>
    <row r="423" spans="23:23">
      <c r="W423">
        <f t="shared" si="9"/>
        <v>0</v>
      </c>
    </row>
    <row r="424" spans="23:23">
      <c r="W424">
        <f t="shared" si="9"/>
        <v>0</v>
      </c>
    </row>
    <row r="425" spans="23:23">
      <c r="W425">
        <f t="shared" si="9"/>
        <v>0</v>
      </c>
    </row>
    <row r="426" spans="23:23">
      <c r="W426">
        <f t="shared" si="9"/>
        <v>0</v>
      </c>
    </row>
    <row r="427" spans="23:23">
      <c r="W427">
        <f t="shared" si="9"/>
        <v>0</v>
      </c>
    </row>
    <row r="428" spans="23:23">
      <c r="W428">
        <f t="shared" si="9"/>
        <v>0</v>
      </c>
    </row>
    <row r="429" spans="23:23">
      <c r="W429">
        <f t="shared" si="9"/>
        <v>0</v>
      </c>
    </row>
    <row r="430" spans="23:23">
      <c r="W430">
        <f t="shared" si="9"/>
        <v>0</v>
      </c>
    </row>
    <row r="431" spans="23:23">
      <c r="W431">
        <f t="shared" si="9"/>
        <v>0</v>
      </c>
    </row>
    <row r="432" spans="23:23">
      <c r="W432">
        <f t="shared" si="9"/>
        <v>0</v>
      </c>
    </row>
    <row r="433" spans="23:23">
      <c r="W433">
        <f t="shared" si="9"/>
        <v>0</v>
      </c>
    </row>
    <row r="434" spans="23:23">
      <c r="W434">
        <f t="shared" si="9"/>
        <v>0</v>
      </c>
    </row>
    <row r="435" spans="23:23">
      <c r="W435">
        <f t="shared" si="9"/>
        <v>0</v>
      </c>
    </row>
    <row r="436" spans="23:23">
      <c r="W436">
        <f t="shared" si="9"/>
        <v>0</v>
      </c>
    </row>
    <row r="437" spans="23:23">
      <c r="W437">
        <f t="shared" si="9"/>
        <v>0</v>
      </c>
    </row>
    <row r="438" spans="23:23">
      <c r="W438">
        <f t="shared" si="9"/>
        <v>0</v>
      </c>
    </row>
    <row r="439" spans="23:23">
      <c r="W439">
        <f t="shared" si="9"/>
        <v>0</v>
      </c>
    </row>
    <row r="440" spans="23:23">
      <c r="W440">
        <f t="shared" si="9"/>
        <v>0</v>
      </c>
    </row>
    <row r="441" spans="23:23">
      <c r="W441">
        <f t="shared" si="9"/>
        <v>0</v>
      </c>
    </row>
    <row r="442" spans="23:23">
      <c r="W442">
        <f t="shared" si="9"/>
        <v>0</v>
      </c>
    </row>
    <row r="443" spans="23:23">
      <c r="W443">
        <f t="shared" si="9"/>
        <v>0</v>
      </c>
    </row>
    <row r="444" spans="23:23">
      <c r="W444">
        <f t="shared" si="9"/>
        <v>0</v>
      </c>
    </row>
    <row r="445" spans="23:23">
      <c r="W445">
        <f t="shared" si="9"/>
        <v>0</v>
      </c>
    </row>
    <row r="446" spans="23:23">
      <c r="W446">
        <f t="shared" si="9"/>
        <v>0</v>
      </c>
    </row>
    <row r="447" spans="23:23">
      <c r="W447">
        <f t="shared" si="9"/>
        <v>0</v>
      </c>
    </row>
    <row r="448" spans="23:23">
      <c r="W448">
        <f t="shared" si="9"/>
        <v>0</v>
      </c>
    </row>
    <row r="449" spans="23:23">
      <c r="W449">
        <f t="shared" si="9"/>
        <v>0</v>
      </c>
    </row>
    <row r="450" spans="23:23">
      <c r="W450">
        <f t="shared" si="9"/>
        <v>0</v>
      </c>
    </row>
    <row r="451" spans="23:23">
      <c r="W451">
        <f t="shared" si="9"/>
        <v>0</v>
      </c>
    </row>
    <row r="452" spans="23:23">
      <c r="W452">
        <f t="shared" ref="W452:W515" si="10">A452</f>
        <v>0</v>
      </c>
    </row>
    <row r="453" spans="23:23">
      <c r="W453">
        <f t="shared" si="10"/>
        <v>0</v>
      </c>
    </row>
    <row r="454" spans="23:23">
      <c r="W454">
        <f t="shared" si="10"/>
        <v>0</v>
      </c>
    </row>
    <row r="455" spans="23:23">
      <c r="W455">
        <f t="shared" si="10"/>
        <v>0</v>
      </c>
    </row>
    <row r="456" spans="23:23">
      <c r="W456">
        <f t="shared" si="10"/>
        <v>0</v>
      </c>
    </row>
    <row r="457" spans="23:23">
      <c r="W457">
        <f t="shared" si="10"/>
        <v>0</v>
      </c>
    </row>
    <row r="458" spans="23:23">
      <c r="W458">
        <f t="shared" si="10"/>
        <v>0</v>
      </c>
    </row>
    <row r="459" spans="23:23">
      <c r="W459">
        <f t="shared" si="10"/>
        <v>0</v>
      </c>
    </row>
    <row r="460" spans="23:23">
      <c r="W460">
        <f t="shared" si="10"/>
        <v>0</v>
      </c>
    </row>
    <row r="461" spans="23:23">
      <c r="W461">
        <f t="shared" si="10"/>
        <v>0</v>
      </c>
    </row>
    <row r="462" spans="23:23">
      <c r="W462">
        <f t="shared" si="10"/>
        <v>0</v>
      </c>
    </row>
    <row r="463" spans="23:23">
      <c r="W463">
        <f t="shared" si="10"/>
        <v>0</v>
      </c>
    </row>
    <row r="464" spans="23:23">
      <c r="W464">
        <f t="shared" si="10"/>
        <v>0</v>
      </c>
    </row>
    <row r="465" spans="23:23">
      <c r="W465">
        <f t="shared" si="10"/>
        <v>0</v>
      </c>
    </row>
    <row r="466" spans="23:23">
      <c r="W466">
        <f t="shared" si="10"/>
        <v>0</v>
      </c>
    </row>
    <row r="467" spans="23:23">
      <c r="W467">
        <f t="shared" si="10"/>
        <v>0</v>
      </c>
    </row>
    <row r="468" spans="23:23">
      <c r="W468">
        <f t="shared" si="10"/>
        <v>0</v>
      </c>
    </row>
    <row r="469" spans="23:23">
      <c r="W469">
        <f t="shared" si="10"/>
        <v>0</v>
      </c>
    </row>
    <row r="470" spans="23:23">
      <c r="W470">
        <f t="shared" si="10"/>
        <v>0</v>
      </c>
    </row>
    <row r="471" spans="23:23">
      <c r="W471">
        <f t="shared" si="10"/>
        <v>0</v>
      </c>
    </row>
    <row r="472" spans="23:23">
      <c r="W472">
        <f t="shared" si="10"/>
        <v>0</v>
      </c>
    </row>
    <row r="473" spans="23:23">
      <c r="W473">
        <f t="shared" si="10"/>
        <v>0</v>
      </c>
    </row>
    <row r="474" spans="23:23">
      <c r="W474">
        <f t="shared" si="10"/>
        <v>0</v>
      </c>
    </row>
    <row r="475" spans="23:23">
      <c r="W475">
        <f t="shared" si="10"/>
        <v>0</v>
      </c>
    </row>
    <row r="476" spans="23:23">
      <c r="W476">
        <f t="shared" si="10"/>
        <v>0</v>
      </c>
    </row>
    <row r="477" spans="23:23">
      <c r="W477">
        <f t="shared" si="10"/>
        <v>0</v>
      </c>
    </row>
    <row r="478" spans="23:23">
      <c r="W478">
        <f t="shared" si="10"/>
        <v>0</v>
      </c>
    </row>
    <row r="479" spans="23:23">
      <c r="W479">
        <f t="shared" si="10"/>
        <v>0</v>
      </c>
    </row>
    <row r="480" spans="23:23">
      <c r="W480">
        <f t="shared" si="10"/>
        <v>0</v>
      </c>
    </row>
    <row r="481" spans="23:23">
      <c r="W481">
        <f t="shared" si="10"/>
        <v>0</v>
      </c>
    </row>
    <row r="482" spans="23:23">
      <c r="W482">
        <f t="shared" si="10"/>
        <v>0</v>
      </c>
    </row>
    <row r="483" spans="23:23">
      <c r="W483">
        <f t="shared" si="10"/>
        <v>0</v>
      </c>
    </row>
    <row r="484" spans="23:23">
      <c r="W484">
        <f t="shared" si="10"/>
        <v>0</v>
      </c>
    </row>
    <row r="485" spans="23:23">
      <c r="W485">
        <f t="shared" si="10"/>
        <v>0</v>
      </c>
    </row>
    <row r="486" spans="23:23">
      <c r="W486">
        <f t="shared" si="10"/>
        <v>0</v>
      </c>
    </row>
    <row r="487" spans="23:23">
      <c r="W487">
        <f t="shared" si="10"/>
        <v>0</v>
      </c>
    </row>
    <row r="488" spans="23:23">
      <c r="W488">
        <f t="shared" si="10"/>
        <v>0</v>
      </c>
    </row>
    <row r="489" spans="23:23">
      <c r="W489">
        <f t="shared" si="10"/>
        <v>0</v>
      </c>
    </row>
    <row r="490" spans="23:23">
      <c r="W490">
        <f t="shared" si="10"/>
        <v>0</v>
      </c>
    </row>
    <row r="491" spans="23:23">
      <c r="W491">
        <f t="shared" si="10"/>
        <v>0</v>
      </c>
    </row>
    <row r="492" spans="23:23">
      <c r="W492">
        <f t="shared" si="10"/>
        <v>0</v>
      </c>
    </row>
    <row r="493" spans="23:23">
      <c r="W493">
        <f t="shared" si="10"/>
        <v>0</v>
      </c>
    </row>
    <row r="494" spans="23:23">
      <c r="W494">
        <f t="shared" si="10"/>
        <v>0</v>
      </c>
    </row>
    <row r="495" spans="23:23">
      <c r="W495">
        <f t="shared" si="10"/>
        <v>0</v>
      </c>
    </row>
    <row r="496" spans="23:23">
      <c r="W496">
        <f t="shared" si="10"/>
        <v>0</v>
      </c>
    </row>
    <row r="497" spans="23:23">
      <c r="W497">
        <f t="shared" si="10"/>
        <v>0</v>
      </c>
    </row>
    <row r="498" spans="23:23">
      <c r="W498">
        <f t="shared" si="10"/>
        <v>0</v>
      </c>
    </row>
    <row r="499" spans="23:23">
      <c r="W499">
        <f t="shared" si="10"/>
        <v>0</v>
      </c>
    </row>
    <row r="500" spans="23:23">
      <c r="W500">
        <f t="shared" si="10"/>
        <v>0</v>
      </c>
    </row>
    <row r="501" spans="23:23">
      <c r="W501">
        <f t="shared" si="10"/>
        <v>0</v>
      </c>
    </row>
    <row r="502" spans="23:23">
      <c r="W502">
        <f t="shared" si="10"/>
        <v>0</v>
      </c>
    </row>
    <row r="503" spans="23:23">
      <c r="W503">
        <f t="shared" si="10"/>
        <v>0</v>
      </c>
    </row>
    <row r="504" spans="23:23">
      <c r="W504">
        <f t="shared" si="10"/>
        <v>0</v>
      </c>
    </row>
    <row r="505" spans="23:23">
      <c r="W505">
        <f t="shared" si="10"/>
        <v>0</v>
      </c>
    </row>
    <row r="506" spans="23:23">
      <c r="W506">
        <f t="shared" si="10"/>
        <v>0</v>
      </c>
    </row>
    <row r="507" spans="23:23">
      <c r="W507">
        <f t="shared" si="10"/>
        <v>0</v>
      </c>
    </row>
    <row r="508" spans="23:23">
      <c r="W508">
        <f t="shared" si="10"/>
        <v>0</v>
      </c>
    </row>
    <row r="509" spans="23:23">
      <c r="W509">
        <f t="shared" si="10"/>
        <v>0</v>
      </c>
    </row>
    <row r="510" spans="23:23">
      <c r="W510">
        <f t="shared" si="10"/>
        <v>0</v>
      </c>
    </row>
    <row r="511" spans="23:23">
      <c r="W511">
        <f t="shared" si="10"/>
        <v>0</v>
      </c>
    </row>
    <row r="512" spans="23:23">
      <c r="W512">
        <f t="shared" si="10"/>
        <v>0</v>
      </c>
    </row>
    <row r="513" spans="23:23">
      <c r="W513">
        <f t="shared" si="10"/>
        <v>0</v>
      </c>
    </row>
    <row r="514" spans="23:23">
      <c r="W514">
        <f t="shared" si="10"/>
        <v>0</v>
      </c>
    </row>
    <row r="515" spans="23:23">
      <c r="W515">
        <f t="shared" si="10"/>
        <v>0</v>
      </c>
    </row>
    <row r="516" spans="23:23">
      <c r="W516">
        <f t="shared" ref="W516:W579" si="11">A516</f>
        <v>0</v>
      </c>
    </row>
    <row r="517" spans="23:23">
      <c r="W517">
        <f t="shared" si="11"/>
        <v>0</v>
      </c>
    </row>
    <row r="518" spans="23:23">
      <c r="W518">
        <f t="shared" si="11"/>
        <v>0</v>
      </c>
    </row>
    <row r="519" spans="23:23">
      <c r="W519">
        <f t="shared" si="11"/>
        <v>0</v>
      </c>
    </row>
    <row r="520" spans="23:23">
      <c r="W520">
        <f t="shared" si="11"/>
        <v>0</v>
      </c>
    </row>
    <row r="521" spans="23:23">
      <c r="W521">
        <f t="shared" si="11"/>
        <v>0</v>
      </c>
    </row>
    <row r="522" spans="23:23">
      <c r="W522">
        <f t="shared" si="11"/>
        <v>0</v>
      </c>
    </row>
    <row r="523" spans="23:23">
      <c r="W523">
        <f t="shared" si="11"/>
        <v>0</v>
      </c>
    </row>
    <row r="524" spans="23:23">
      <c r="W524">
        <f t="shared" si="11"/>
        <v>0</v>
      </c>
    </row>
    <row r="525" spans="23:23">
      <c r="W525">
        <f t="shared" si="11"/>
        <v>0</v>
      </c>
    </row>
    <row r="526" spans="23:23">
      <c r="W526">
        <f t="shared" si="11"/>
        <v>0</v>
      </c>
    </row>
    <row r="527" spans="23:23">
      <c r="W527">
        <f t="shared" si="11"/>
        <v>0</v>
      </c>
    </row>
    <row r="528" spans="23:23">
      <c r="W528">
        <f t="shared" si="11"/>
        <v>0</v>
      </c>
    </row>
    <row r="529" spans="23:23">
      <c r="W529">
        <f t="shared" si="11"/>
        <v>0</v>
      </c>
    </row>
    <row r="530" spans="23:23">
      <c r="W530">
        <f t="shared" si="11"/>
        <v>0</v>
      </c>
    </row>
    <row r="531" spans="23:23">
      <c r="W531">
        <f t="shared" si="11"/>
        <v>0</v>
      </c>
    </row>
    <row r="532" spans="23:23">
      <c r="W532">
        <f t="shared" si="11"/>
        <v>0</v>
      </c>
    </row>
    <row r="533" spans="23:23">
      <c r="W533">
        <f t="shared" si="11"/>
        <v>0</v>
      </c>
    </row>
    <row r="534" spans="23:23">
      <c r="W534">
        <f t="shared" si="11"/>
        <v>0</v>
      </c>
    </row>
    <row r="535" spans="23:23">
      <c r="W535">
        <f t="shared" si="11"/>
        <v>0</v>
      </c>
    </row>
    <row r="536" spans="23:23">
      <c r="W536">
        <f t="shared" si="11"/>
        <v>0</v>
      </c>
    </row>
    <row r="537" spans="23:23">
      <c r="W537">
        <f t="shared" si="11"/>
        <v>0</v>
      </c>
    </row>
    <row r="538" spans="23:23">
      <c r="W538">
        <f t="shared" si="11"/>
        <v>0</v>
      </c>
    </row>
    <row r="539" spans="23:23">
      <c r="W539">
        <f t="shared" si="11"/>
        <v>0</v>
      </c>
    </row>
    <row r="540" spans="23:23">
      <c r="W540">
        <f t="shared" si="11"/>
        <v>0</v>
      </c>
    </row>
    <row r="541" spans="23:23">
      <c r="W541">
        <f t="shared" si="11"/>
        <v>0</v>
      </c>
    </row>
    <row r="542" spans="23:23">
      <c r="W542">
        <f t="shared" si="11"/>
        <v>0</v>
      </c>
    </row>
    <row r="543" spans="23:23">
      <c r="W543">
        <f t="shared" si="11"/>
        <v>0</v>
      </c>
    </row>
    <row r="544" spans="23:23">
      <c r="W544">
        <f t="shared" si="11"/>
        <v>0</v>
      </c>
    </row>
    <row r="545" spans="23:23">
      <c r="W545">
        <f t="shared" si="11"/>
        <v>0</v>
      </c>
    </row>
    <row r="546" spans="23:23">
      <c r="W546">
        <f t="shared" si="11"/>
        <v>0</v>
      </c>
    </row>
    <row r="547" spans="23:23">
      <c r="W547">
        <f t="shared" si="11"/>
        <v>0</v>
      </c>
    </row>
    <row r="548" spans="23:23">
      <c r="W548">
        <f t="shared" si="11"/>
        <v>0</v>
      </c>
    </row>
    <row r="549" spans="23:23">
      <c r="W549">
        <f t="shared" si="11"/>
        <v>0</v>
      </c>
    </row>
    <row r="550" spans="23:23">
      <c r="W550">
        <f t="shared" si="11"/>
        <v>0</v>
      </c>
    </row>
    <row r="551" spans="23:23">
      <c r="W551">
        <f t="shared" si="11"/>
        <v>0</v>
      </c>
    </row>
    <row r="552" spans="23:23">
      <c r="W552">
        <f t="shared" si="11"/>
        <v>0</v>
      </c>
    </row>
    <row r="553" spans="23:23">
      <c r="W553">
        <f t="shared" si="11"/>
        <v>0</v>
      </c>
    </row>
    <row r="554" spans="23:23">
      <c r="W554">
        <f t="shared" si="11"/>
        <v>0</v>
      </c>
    </row>
    <row r="555" spans="23:23">
      <c r="W555">
        <f t="shared" si="11"/>
        <v>0</v>
      </c>
    </row>
    <row r="556" spans="23:23">
      <c r="W556">
        <f t="shared" si="11"/>
        <v>0</v>
      </c>
    </row>
    <row r="557" spans="23:23">
      <c r="W557">
        <f t="shared" si="11"/>
        <v>0</v>
      </c>
    </row>
    <row r="558" spans="23:23">
      <c r="W558">
        <f t="shared" si="11"/>
        <v>0</v>
      </c>
    </row>
    <row r="559" spans="23:23">
      <c r="W559">
        <f t="shared" si="11"/>
        <v>0</v>
      </c>
    </row>
    <row r="560" spans="23:23">
      <c r="W560">
        <f t="shared" si="11"/>
        <v>0</v>
      </c>
    </row>
    <row r="561" spans="23:23">
      <c r="W561">
        <f t="shared" si="11"/>
        <v>0</v>
      </c>
    </row>
    <row r="562" spans="23:23">
      <c r="W562">
        <f t="shared" si="11"/>
        <v>0</v>
      </c>
    </row>
    <row r="563" spans="23:23">
      <c r="W563">
        <f t="shared" si="11"/>
        <v>0</v>
      </c>
    </row>
    <row r="564" spans="23:23">
      <c r="W564">
        <f t="shared" si="11"/>
        <v>0</v>
      </c>
    </row>
    <row r="565" spans="23:23">
      <c r="W565">
        <f t="shared" si="11"/>
        <v>0</v>
      </c>
    </row>
    <row r="566" spans="23:23">
      <c r="W566">
        <f t="shared" si="11"/>
        <v>0</v>
      </c>
    </row>
    <row r="567" spans="23:23">
      <c r="W567">
        <f t="shared" si="11"/>
        <v>0</v>
      </c>
    </row>
    <row r="568" spans="23:23">
      <c r="W568">
        <f t="shared" si="11"/>
        <v>0</v>
      </c>
    </row>
    <row r="569" spans="23:23">
      <c r="W569">
        <f t="shared" si="11"/>
        <v>0</v>
      </c>
    </row>
    <row r="570" spans="23:23">
      <c r="W570">
        <f t="shared" si="11"/>
        <v>0</v>
      </c>
    </row>
    <row r="571" spans="23:23">
      <c r="W571">
        <f t="shared" si="11"/>
        <v>0</v>
      </c>
    </row>
    <row r="572" spans="23:23">
      <c r="W572">
        <f t="shared" si="11"/>
        <v>0</v>
      </c>
    </row>
    <row r="573" spans="23:23">
      <c r="W573">
        <f t="shared" si="11"/>
        <v>0</v>
      </c>
    </row>
    <row r="574" spans="23:23">
      <c r="W574">
        <f t="shared" si="11"/>
        <v>0</v>
      </c>
    </row>
    <row r="575" spans="23:23">
      <c r="W575">
        <f t="shared" si="11"/>
        <v>0</v>
      </c>
    </row>
    <row r="576" spans="23:23">
      <c r="W576">
        <f t="shared" si="11"/>
        <v>0</v>
      </c>
    </row>
    <row r="577" spans="23:23">
      <c r="W577">
        <f t="shared" si="11"/>
        <v>0</v>
      </c>
    </row>
    <row r="578" spans="23:23">
      <c r="W578">
        <f t="shared" si="11"/>
        <v>0</v>
      </c>
    </row>
    <row r="579" spans="23:23">
      <c r="W579">
        <f t="shared" si="11"/>
        <v>0</v>
      </c>
    </row>
    <row r="580" spans="23:23">
      <c r="W580">
        <f t="shared" ref="W580:W643" si="12">A580</f>
        <v>0</v>
      </c>
    </row>
    <row r="581" spans="23:23">
      <c r="W581">
        <f t="shared" si="12"/>
        <v>0</v>
      </c>
    </row>
    <row r="582" spans="23:23">
      <c r="W582">
        <f t="shared" si="12"/>
        <v>0</v>
      </c>
    </row>
    <row r="583" spans="23:23">
      <c r="W583">
        <f t="shared" si="12"/>
        <v>0</v>
      </c>
    </row>
    <row r="584" spans="23:23">
      <c r="W584">
        <f t="shared" si="12"/>
        <v>0</v>
      </c>
    </row>
    <row r="585" spans="23:23">
      <c r="W585">
        <f t="shared" si="12"/>
        <v>0</v>
      </c>
    </row>
    <row r="586" spans="23:23">
      <c r="W586">
        <f t="shared" si="12"/>
        <v>0</v>
      </c>
    </row>
    <row r="587" spans="23:23">
      <c r="W587">
        <f t="shared" si="12"/>
        <v>0</v>
      </c>
    </row>
    <row r="588" spans="23:23">
      <c r="W588">
        <f t="shared" si="12"/>
        <v>0</v>
      </c>
    </row>
    <row r="589" spans="23:23">
      <c r="W589">
        <f t="shared" si="12"/>
        <v>0</v>
      </c>
    </row>
    <row r="590" spans="23:23">
      <c r="W590">
        <f t="shared" si="12"/>
        <v>0</v>
      </c>
    </row>
    <row r="591" spans="23:23">
      <c r="W591">
        <f t="shared" si="12"/>
        <v>0</v>
      </c>
    </row>
    <row r="592" spans="23:23">
      <c r="W592">
        <f t="shared" si="12"/>
        <v>0</v>
      </c>
    </row>
    <row r="593" spans="23:23">
      <c r="W593">
        <f t="shared" si="12"/>
        <v>0</v>
      </c>
    </row>
    <row r="594" spans="23:23">
      <c r="W594">
        <f t="shared" si="12"/>
        <v>0</v>
      </c>
    </row>
    <row r="595" spans="23:23">
      <c r="W595">
        <f t="shared" si="12"/>
        <v>0</v>
      </c>
    </row>
    <row r="596" spans="23:23">
      <c r="W596">
        <f t="shared" si="12"/>
        <v>0</v>
      </c>
    </row>
    <row r="597" spans="23:23">
      <c r="W597">
        <f t="shared" si="12"/>
        <v>0</v>
      </c>
    </row>
    <row r="598" spans="23:23">
      <c r="W598">
        <f t="shared" si="12"/>
        <v>0</v>
      </c>
    </row>
    <row r="599" spans="23:23">
      <c r="W599">
        <f t="shared" si="12"/>
        <v>0</v>
      </c>
    </row>
    <row r="600" spans="23:23">
      <c r="W600">
        <f t="shared" si="12"/>
        <v>0</v>
      </c>
    </row>
    <row r="601" spans="23:23">
      <c r="W601">
        <f t="shared" si="12"/>
        <v>0</v>
      </c>
    </row>
    <row r="602" spans="23:23">
      <c r="W602">
        <f t="shared" si="12"/>
        <v>0</v>
      </c>
    </row>
    <row r="603" spans="23:23">
      <c r="W603">
        <f t="shared" si="12"/>
        <v>0</v>
      </c>
    </row>
    <row r="604" spans="23:23">
      <c r="W604">
        <f t="shared" si="12"/>
        <v>0</v>
      </c>
    </row>
    <row r="605" spans="23:23">
      <c r="W605">
        <f t="shared" si="12"/>
        <v>0</v>
      </c>
    </row>
    <row r="606" spans="23:23">
      <c r="W606">
        <f t="shared" si="12"/>
        <v>0</v>
      </c>
    </row>
    <row r="607" spans="23:23">
      <c r="W607">
        <f t="shared" si="12"/>
        <v>0</v>
      </c>
    </row>
    <row r="608" spans="23:23">
      <c r="W608">
        <f t="shared" si="12"/>
        <v>0</v>
      </c>
    </row>
    <row r="609" spans="23:23">
      <c r="W609">
        <f t="shared" si="12"/>
        <v>0</v>
      </c>
    </row>
    <row r="610" spans="23:23">
      <c r="W610">
        <f t="shared" si="12"/>
        <v>0</v>
      </c>
    </row>
    <row r="611" spans="23:23">
      <c r="W611">
        <f t="shared" si="12"/>
        <v>0</v>
      </c>
    </row>
    <row r="612" spans="23:23">
      <c r="W612">
        <f t="shared" si="12"/>
        <v>0</v>
      </c>
    </row>
    <row r="613" spans="23:23">
      <c r="W613">
        <f t="shared" si="12"/>
        <v>0</v>
      </c>
    </row>
    <row r="614" spans="23:23">
      <c r="W614">
        <f t="shared" si="12"/>
        <v>0</v>
      </c>
    </row>
    <row r="615" spans="23:23">
      <c r="W615">
        <f t="shared" si="12"/>
        <v>0</v>
      </c>
    </row>
    <row r="616" spans="23:23">
      <c r="W616">
        <f t="shared" si="12"/>
        <v>0</v>
      </c>
    </row>
    <row r="617" spans="23:23">
      <c r="W617">
        <f t="shared" si="12"/>
        <v>0</v>
      </c>
    </row>
    <row r="618" spans="23:23">
      <c r="W618">
        <f t="shared" si="12"/>
        <v>0</v>
      </c>
    </row>
    <row r="619" spans="23:23">
      <c r="W619">
        <f t="shared" si="12"/>
        <v>0</v>
      </c>
    </row>
    <row r="620" spans="23:23">
      <c r="W620">
        <f t="shared" si="12"/>
        <v>0</v>
      </c>
    </row>
    <row r="621" spans="23:23">
      <c r="W621">
        <f t="shared" si="12"/>
        <v>0</v>
      </c>
    </row>
    <row r="622" spans="23:23">
      <c r="W622">
        <f t="shared" si="12"/>
        <v>0</v>
      </c>
    </row>
    <row r="623" spans="23:23">
      <c r="W623">
        <f t="shared" si="12"/>
        <v>0</v>
      </c>
    </row>
    <row r="624" spans="23:23">
      <c r="W624">
        <f t="shared" si="12"/>
        <v>0</v>
      </c>
    </row>
    <row r="625" spans="23:23">
      <c r="W625">
        <f t="shared" si="12"/>
        <v>0</v>
      </c>
    </row>
    <row r="626" spans="23:23">
      <c r="W626">
        <f t="shared" si="12"/>
        <v>0</v>
      </c>
    </row>
    <row r="627" spans="23:23">
      <c r="W627">
        <f t="shared" si="12"/>
        <v>0</v>
      </c>
    </row>
    <row r="628" spans="23:23">
      <c r="W628">
        <f t="shared" si="12"/>
        <v>0</v>
      </c>
    </row>
    <row r="629" spans="23:23">
      <c r="W629">
        <f t="shared" si="12"/>
        <v>0</v>
      </c>
    </row>
    <row r="630" spans="23:23">
      <c r="W630">
        <f t="shared" si="12"/>
        <v>0</v>
      </c>
    </row>
    <row r="631" spans="23:23">
      <c r="W631">
        <f t="shared" si="12"/>
        <v>0</v>
      </c>
    </row>
    <row r="632" spans="23:23">
      <c r="W632">
        <f t="shared" si="12"/>
        <v>0</v>
      </c>
    </row>
    <row r="633" spans="23:23">
      <c r="W633">
        <f t="shared" si="12"/>
        <v>0</v>
      </c>
    </row>
    <row r="634" spans="23:23">
      <c r="W634">
        <f t="shared" si="12"/>
        <v>0</v>
      </c>
    </row>
    <row r="635" spans="23:23">
      <c r="W635">
        <f t="shared" si="12"/>
        <v>0</v>
      </c>
    </row>
    <row r="636" spans="23:23">
      <c r="W636">
        <f t="shared" si="12"/>
        <v>0</v>
      </c>
    </row>
    <row r="637" spans="23:23">
      <c r="W637">
        <f t="shared" si="12"/>
        <v>0</v>
      </c>
    </row>
    <row r="638" spans="23:23">
      <c r="W638">
        <f t="shared" si="12"/>
        <v>0</v>
      </c>
    </row>
    <row r="639" spans="23:23">
      <c r="W639">
        <f t="shared" si="12"/>
        <v>0</v>
      </c>
    </row>
    <row r="640" spans="23:23">
      <c r="W640">
        <f t="shared" si="12"/>
        <v>0</v>
      </c>
    </row>
    <row r="641" spans="23:23">
      <c r="W641">
        <f t="shared" si="12"/>
        <v>0</v>
      </c>
    </row>
    <row r="642" spans="23:23">
      <c r="W642">
        <f t="shared" si="12"/>
        <v>0</v>
      </c>
    </row>
    <row r="643" spans="23:23">
      <c r="W643">
        <f t="shared" si="12"/>
        <v>0</v>
      </c>
    </row>
    <row r="644" spans="23:23">
      <c r="W644">
        <f t="shared" ref="W644:W707" si="13">A644</f>
        <v>0</v>
      </c>
    </row>
    <row r="645" spans="23:23">
      <c r="W645">
        <f t="shared" si="13"/>
        <v>0</v>
      </c>
    </row>
    <row r="646" spans="23:23">
      <c r="W646">
        <f t="shared" si="13"/>
        <v>0</v>
      </c>
    </row>
    <row r="647" spans="23:23">
      <c r="W647">
        <f t="shared" si="13"/>
        <v>0</v>
      </c>
    </row>
    <row r="648" spans="23:23">
      <c r="W648">
        <f t="shared" si="13"/>
        <v>0</v>
      </c>
    </row>
    <row r="649" spans="23:23">
      <c r="W649">
        <f t="shared" si="13"/>
        <v>0</v>
      </c>
    </row>
    <row r="650" spans="23:23">
      <c r="W650">
        <f t="shared" si="13"/>
        <v>0</v>
      </c>
    </row>
    <row r="651" spans="23:23">
      <c r="W651">
        <f t="shared" si="13"/>
        <v>0</v>
      </c>
    </row>
    <row r="652" spans="23:23">
      <c r="W652">
        <f t="shared" si="13"/>
        <v>0</v>
      </c>
    </row>
    <row r="653" spans="23:23">
      <c r="W653">
        <f t="shared" si="13"/>
        <v>0</v>
      </c>
    </row>
    <row r="654" spans="23:23">
      <c r="W654">
        <f t="shared" si="13"/>
        <v>0</v>
      </c>
    </row>
    <row r="655" spans="23:23">
      <c r="W655">
        <f t="shared" si="13"/>
        <v>0</v>
      </c>
    </row>
    <row r="656" spans="23:23">
      <c r="W656">
        <f t="shared" si="13"/>
        <v>0</v>
      </c>
    </row>
    <row r="657" spans="23:23">
      <c r="W657">
        <f t="shared" si="13"/>
        <v>0</v>
      </c>
    </row>
    <row r="658" spans="23:23">
      <c r="W658">
        <f t="shared" si="13"/>
        <v>0</v>
      </c>
    </row>
    <row r="659" spans="23:23">
      <c r="W659">
        <f t="shared" si="13"/>
        <v>0</v>
      </c>
    </row>
    <row r="660" spans="23:23">
      <c r="W660">
        <f t="shared" si="13"/>
        <v>0</v>
      </c>
    </row>
    <row r="661" spans="23:23">
      <c r="W661">
        <f t="shared" si="13"/>
        <v>0</v>
      </c>
    </row>
    <row r="662" spans="23:23">
      <c r="W662">
        <f t="shared" si="13"/>
        <v>0</v>
      </c>
    </row>
    <row r="663" spans="23:23">
      <c r="W663">
        <f t="shared" si="13"/>
        <v>0</v>
      </c>
    </row>
    <row r="664" spans="23:23">
      <c r="W664">
        <f t="shared" si="13"/>
        <v>0</v>
      </c>
    </row>
    <row r="665" spans="23:23">
      <c r="W665">
        <f t="shared" si="13"/>
        <v>0</v>
      </c>
    </row>
    <row r="666" spans="23:23">
      <c r="W666">
        <f t="shared" si="13"/>
        <v>0</v>
      </c>
    </row>
    <row r="667" spans="23:23">
      <c r="W667">
        <f t="shared" si="13"/>
        <v>0</v>
      </c>
    </row>
    <row r="668" spans="23:23">
      <c r="W668">
        <f t="shared" si="13"/>
        <v>0</v>
      </c>
    </row>
    <row r="669" spans="23:23">
      <c r="W669">
        <f t="shared" si="13"/>
        <v>0</v>
      </c>
    </row>
    <row r="670" spans="23:23">
      <c r="W670">
        <f t="shared" si="13"/>
        <v>0</v>
      </c>
    </row>
    <row r="671" spans="23:23">
      <c r="W671">
        <f t="shared" si="13"/>
        <v>0</v>
      </c>
    </row>
    <row r="672" spans="23:23">
      <c r="W672">
        <f t="shared" si="13"/>
        <v>0</v>
      </c>
    </row>
    <row r="673" spans="23:23">
      <c r="W673">
        <f t="shared" si="13"/>
        <v>0</v>
      </c>
    </row>
    <row r="674" spans="23:23">
      <c r="W674">
        <f t="shared" si="13"/>
        <v>0</v>
      </c>
    </row>
    <row r="675" spans="23:23">
      <c r="W675">
        <f t="shared" si="13"/>
        <v>0</v>
      </c>
    </row>
    <row r="676" spans="23:23">
      <c r="W676">
        <f t="shared" si="13"/>
        <v>0</v>
      </c>
    </row>
    <row r="677" spans="23:23">
      <c r="W677">
        <f t="shared" si="13"/>
        <v>0</v>
      </c>
    </row>
    <row r="678" spans="23:23">
      <c r="W678">
        <f t="shared" si="13"/>
        <v>0</v>
      </c>
    </row>
    <row r="679" spans="23:23">
      <c r="W679">
        <f t="shared" si="13"/>
        <v>0</v>
      </c>
    </row>
    <row r="680" spans="23:23">
      <c r="W680">
        <f t="shared" si="13"/>
        <v>0</v>
      </c>
    </row>
    <row r="681" spans="23:23">
      <c r="W681">
        <f t="shared" si="13"/>
        <v>0</v>
      </c>
    </row>
    <row r="682" spans="23:23">
      <c r="W682">
        <f t="shared" si="13"/>
        <v>0</v>
      </c>
    </row>
    <row r="683" spans="23:23">
      <c r="W683">
        <f t="shared" si="13"/>
        <v>0</v>
      </c>
    </row>
    <row r="684" spans="23:23">
      <c r="W684">
        <f t="shared" si="13"/>
        <v>0</v>
      </c>
    </row>
    <row r="685" spans="23:23">
      <c r="W685">
        <f t="shared" si="13"/>
        <v>0</v>
      </c>
    </row>
    <row r="686" spans="23:23">
      <c r="W686">
        <f t="shared" si="13"/>
        <v>0</v>
      </c>
    </row>
    <row r="687" spans="23:23">
      <c r="W687">
        <f t="shared" si="13"/>
        <v>0</v>
      </c>
    </row>
    <row r="688" spans="23:23">
      <c r="W688">
        <f t="shared" si="13"/>
        <v>0</v>
      </c>
    </row>
    <row r="689" spans="23:23">
      <c r="W689">
        <f t="shared" si="13"/>
        <v>0</v>
      </c>
    </row>
    <row r="690" spans="23:23">
      <c r="W690">
        <f t="shared" si="13"/>
        <v>0</v>
      </c>
    </row>
    <row r="691" spans="23:23">
      <c r="W691">
        <f t="shared" si="13"/>
        <v>0</v>
      </c>
    </row>
    <row r="692" spans="23:23">
      <c r="W692">
        <f t="shared" si="13"/>
        <v>0</v>
      </c>
    </row>
    <row r="693" spans="23:23">
      <c r="W693">
        <f t="shared" si="13"/>
        <v>0</v>
      </c>
    </row>
    <row r="694" spans="23:23">
      <c r="W694">
        <f t="shared" si="13"/>
        <v>0</v>
      </c>
    </row>
    <row r="695" spans="23:23">
      <c r="W695">
        <f t="shared" si="13"/>
        <v>0</v>
      </c>
    </row>
    <row r="696" spans="23:23">
      <c r="W696">
        <f t="shared" si="13"/>
        <v>0</v>
      </c>
    </row>
    <row r="697" spans="23:23">
      <c r="W697">
        <f t="shared" si="13"/>
        <v>0</v>
      </c>
    </row>
    <row r="698" spans="23:23">
      <c r="W698">
        <f t="shared" si="13"/>
        <v>0</v>
      </c>
    </row>
    <row r="699" spans="23:23">
      <c r="W699">
        <f t="shared" si="13"/>
        <v>0</v>
      </c>
    </row>
    <row r="700" spans="23:23">
      <c r="W700">
        <f t="shared" si="13"/>
        <v>0</v>
      </c>
    </row>
    <row r="701" spans="23:23">
      <c r="W701">
        <f t="shared" si="13"/>
        <v>0</v>
      </c>
    </row>
    <row r="702" spans="23:23">
      <c r="W702">
        <f t="shared" si="13"/>
        <v>0</v>
      </c>
    </row>
    <row r="703" spans="23:23">
      <c r="W703">
        <f t="shared" si="13"/>
        <v>0</v>
      </c>
    </row>
    <row r="704" spans="23:23">
      <c r="W704">
        <f t="shared" si="13"/>
        <v>0</v>
      </c>
    </row>
    <row r="705" spans="23:23">
      <c r="W705">
        <f t="shared" si="13"/>
        <v>0</v>
      </c>
    </row>
    <row r="706" spans="23:23">
      <c r="W706">
        <f t="shared" si="13"/>
        <v>0</v>
      </c>
    </row>
    <row r="707" spans="23:23">
      <c r="W707">
        <f t="shared" si="13"/>
        <v>0</v>
      </c>
    </row>
    <row r="708" spans="23:23">
      <c r="W708">
        <f t="shared" ref="W708:W771" si="14">A708</f>
        <v>0</v>
      </c>
    </row>
    <row r="709" spans="23:23">
      <c r="W709">
        <f t="shared" si="14"/>
        <v>0</v>
      </c>
    </row>
    <row r="710" spans="23:23">
      <c r="W710">
        <f t="shared" si="14"/>
        <v>0</v>
      </c>
    </row>
    <row r="711" spans="23:23">
      <c r="W711">
        <f t="shared" si="14"/>
        <v>0</v>
      </c>
    </row>
    <row r="712" spans="23:23">
      <c r="W712">
        <f t="shared" si="14"/>
        <v>0</v>
      </c>
    </row>
    <row r="713" spans="23:23">
      <c r="W713">
        <f t="shared" si="14"/>
        <v>0</v>
      </c>
    </row>
    <row r="714" spans="23:23">
      <c r="W714">
        <f t="shared" si="14"/>
        <v>0</v>
      </c>
    </row>
    <row r="715" spans="23:23">
      <c r="W715">
        <f t="shared" si="14"/>
        <v>0</v>
      </c>
    </row>
    <row r="716" spans="23:23">
      <c r="W716">
        <f t="shared" si="14"/>
        <v>0</v>
      </c>
    </row>
    <row r="717" spans="23:23">
      <c r="W717">
        <f t="shared" si="14"/>
        <v>0</v>
      </c>
    </row>
    <row r="718" spans="23:23">
      <c r="W718">
        <f t="shared" si="14"/>
        <v>0</v>
      </c>
    </row>
    <row r="719" spans="23:23">
      <c r="W719">
        <f t="shared" si="14"/>
        <v>0</v>
      </c>
    </row>
    <row r="720" spans="23:23">
      <c r="W720">
        <f t="shared" si="14"/>
        <v>0</v>
      </c>
    </row>
    <row r="721" spans="23:23">
      <c r="W721">
        <f t="shared" si="14"/>
        <v>0</v>
      </c>
    </row>
    <row r="722" spans="23:23">
      <c r="W722">
        <f t="shared" si="14"/>
        <v>0</v>
      </c>
    </row>
    <row r="723" spans="23:23">
      <c r="W723">
        <f t="shared" si="14"/>
        <v>0</v>
      </c>
    </row>
    <row r="724" spans="23:23">
      <c r="W724">
        <f t="shared" si="14"/>
        <v>0</v>
      </c>
    </row>
    <row r="725" spans="23:23">
      <c r="W725">
        <f t="shared" si="14"/>
        <v>0</v>
      </c>
    </row>
    <row r="726" spans="23:23">
      <c r="W726">
        <f t="shared" si="14"/>
        <v>0</v>
      </c>
    </row>
    <row r="727" spans="23:23">
      <c r="W727">
        <f t="shared" si="14"/>
        <v>0</v>
      </c>
    </row>
    <row r="728" spans="23:23">
      <c r="W728">
        <f t="shared" si="14"/>
        <v>0</v>
      </c>
    </row>
    <row r="729" spans="23:23">
      <c r="W729">
        <f t="shared" si="14"/>
        <v>0</v>
      </c>
    </row>
    <row r="730" spans="23:23">
      <c r="W730">
        <f t="shared" si="14"/>
        <v>0</v>
      </c>
    </row>
    <row r="731" spans="23:23">
      <c r="W731">
        <f t="shared" si="14"/>
        <v>0</v>
      </c>
    </row>
    <row r="732" spans="23:23">
      <c r="W732">
        <f t="shared" si="14"/>
        <v>0</v>
      </c>
    </row>
    <row r="733" spans="23:23">
      <c r="W733">
        <f t="shared" si="14"/>
        <v>0</v>
      </c>
    </row>
    <row r="734" spans="23:23">
      <c r="W734">
        <f t="shared" si="14"/>
        <v>0</v>
      </c>
    </row>
    <row r="735" spans="23:23">
      <c r="W735">
        <f t="shared" si="14"/>
        <v>0</v>
      </c>
    </row>
    <row r="736" spans="23:23">
      <c r="W736">
        <f t="shared" si="14"/>
        <v>0</v>
      </c>
    </row>
    <row r="737" spans="23:23">
      <c r="W737">
        <f t="shared" si="14"/>
        <v>0</v>
      </c>
    </row>
    <row r="738" spans="23:23">
      <c r="W738">
        <f t="shared" si="14"/>
        <v>0</v>
      </c>
    </row>
    <row r="739" spans="23:23">
      <c r="W739">
        <f t="shared" si="14"/>
        <v>0</v>
      </c>
    </row>
    <row r="740" spans="23:23">
      <c r="W740">
        <f t="shared" si="14"/>
        <v>0</v>
      </c>
    </row>
    <row r="741" spans="23:23">
      <c r="W741">
        <f t="shared" si="14"/>
        <v>0</v>
      </c>
    </row>
    <row r="742" spans="23:23">
      <c r="W742">
        <f t="shared" si="14"/>
        <v>0</v>
      </c>
    </row>
    <row r="743" spans="23:23">
      <c r="W743">
        <f t="shared" si="14"/>
        <v>0</v>
      </c>
    </row>
    <row r="744" spans="23:23">
      <c r="W744">
        <f t="shared" si="14"/>
        <v>0</v>
      </c>
    </row>
    <row r="745" spans="23:23">
      <c r="W745">
        <f t="shared" si="14"/>
        <v>0</v>
      </c>
    </row>
    <row r="746" spans="23:23">
      <c r="W746">
        <f t="shared" si="14"/>
        <v>0</v>
      </c>
    </row>
    <row r="747" spans="23:23">
      <c r="W747">
        <f t="shared" si="14"/>
        <v>0</v>
      </c>
    </row>
    <row r="748" spans="23:23">
      <c r="W748">
        <f t="shared" si="14"/>
        <v>0</v>
      </c>
    </row>
    <row r="749" spans="23:23">
      <c r="W749">
        <f t="shared" si="14"/>
        <v>0</v>
      </c>
    </row>
    <row r="750" spans="23:23">
      <c r="W750">
        <f t="shared" si="14"/>
        <v>0</v>
      </c>
    </row>
    <row r="751" spans="23:23">
      <c r="W751">
        <f t="shared" si="14"/>
        <v>0</v>
      </c>
    </row>
    <row r="752" spans="23:23">
      <c r="W752">
        <f t="shared" si="14"/>
        <v>0</v>
      </c>
    </row>
    <row r="753" spans="23:23">
      <c r="W753">
        <f t="shared" si="14"/>
        <v>0</v>
      </c>
    </row>
    <row r="754" spans="23:23">
      <c r="W754">
        <f t="shared" si="14"/>
        <v>0</v>
      </c>
    </row>
    <row r="755" spans="23:23">
      <c r="W755">
        <f t="shared" si="14"/>
        <v>0</v>
      </c>
    </row>
    <row r="756" spans="23:23">
      <c r="W756">
        <f t="shared" si="14"/>
        <v>0</v>
      </c>
    </row>
    <row r="757" spans="23:23">
      <c r="W757">
        <f t="shared" si="14"/>
        <v>0</v>
      </c>
    </row>
    <row r="758" spans="23:23">
      <c r="W758">
        <f t="shared" si="14"/>
        <v>0</v>
      </c>
    </row>
    <row r="759" spans="23:23">
      <c r="W759">
        <f t="shared" si="14"/>
        <v>0</v>
      </c>
    </row>
    <row r="760" spans="23:23">
      <c r="W760">
        <f t="shared" si="14"/>
        <v>0</v>
      </c>
    </row>
    <row r="761" spans="23:23">
      <c r="W761">
        <f t="shared" si="14"/>
        <v>0</v>
      </c>
    </row>
    <row r="762" spans="23:23">
      <c r="W762">
        <f t="shared" si="14"/>
        <v>0</v>
      </c>
    </row>
    <row r="763" spans="23:23">
      <c r="W763">
        <f t="shared" si="14"/>
        <v>0</v>
      </c>
    </row>
    <row r="764" spans="23:23">
      <c r="W764">
        <f t="shared" si="14"/>
        <v>0</v>
      </c>
    </row>
    <row r="765" spans="23:23">
      <c r="W765">
        <f t="shared" si="14"/>
        <v>0</v>
      </c>
    </row>
    <row r="766" spans="23:23">
      <c r="W766">
        <f t="shared" si="14"/>
        <v>0</v>
      </c>
    </row>
    <row r="767" spans="23:23">
      <c r="W767">
        <f t="shared" si="14"/>
        <v>0</v>
      </c>
    </row>
    <row r="768" spans="23:23">
      <c r="W768">
        <f t="shared" si="14"/>
        <v>0</v>
      </c>
    </row>
    <row r="769" spans="23:23">
      <c r="W769">
        <f t="shared" si="14"/>
        <v>0</v>
      </c>
    </row>
    <row r="770" spans="23:23">
      <c r="W770">
        <f t="shared" si="14"/>
        <v>0</v>
      </c>
    </row>
    <row r="771" spans="23:23">
      <c r="W771">
        <f t="shared" si="14"/>
        <v>0</v>
      </c>
    </row>
    <row r="772" spans="23:23">
      <c r="W772">
        <f t="shared" ref="W772:W831" si="15">A772</f>
        <v>0</v>
      </c>
    </row>
    <row r="773" spans="23:23">
      <c r="W773">
        <f t="shared" si="15"/>
        <v>0</v>
      </c>
    </row>
    <row r="774" spans="23:23">
      <c r="W774">
        <f t="shared" si="15"/>
        <v>0</v>
      </c>
    </row>
    <row r="775" spans="23:23">
      <c r="W775">
        <f t="shared" si="15"/>
        <v>0</v>
      </c>
    </row>
    <row r="776" spans="23:23">
      <c r="W776">
        <f t="shared" si="15"/>
        <v>0</v>
      </c>
    </row>
    <row r="777" spans="23:23">
      <c r="W777">
        <f t="shared" si="15"/>
        <v>0</v>
      </c>
    </row>
    <row r="778" spans="23:23">
      <c r="W778">
        <f t="shared" si="15"/>
        <v>0</v>
      </c>
    </row>
    <row r="779" spans="23:23">
      <c r="W779">
        <f t="shared" si="15"/>
        <v>0</v>
      </c>
    </row>
    <row r="780" spans="23:23">
      <c r="W780">
        <f t="shared" si="15"/>
        <v>0</v>
      </c>
    </row>
    <row r="781" spans="23:23">
      <c r="W781">
        <f t="shared" si="15"/>
        <v>0</v>
      </c>
    </row>
    <row r="782" spans="23:23">
      <c r="W782">
        <f t="shared" si="15"/>
        <v>0</v>
      </c>
    </row>
    <row r="783" spans="23:23">
      <c r="W783">
        <f t="shared" si="15"/>
        <v>0</v>
      </c>
    </row>
    <row r="784" spans="23:23">
      <c r="W784">
        <f t="shared" si="15"/>
        <v>0</v>
      </c>
    </row>
    <row r="785" spans="23:23">
      <c r="W785">
        <f t="shared" si="15"/>
        <v>0</v>
      </c>
    </row>
    <row r="786" spans="23:23">
      <c r="W786">
        <f t="shared" si="15"/>
        <v>0</v>
      </c>
    </row>
    <row r="787" spans="23:23">
      <c r="W787">
        <f t="shared" si="15"/>
        <v>0</v>
      </c>
    </row>
    <row r="788" spans="23:23">
      <c r="W788">
        <f t="shared" si="15"/>
        <v>0</v>
      </c>
    </row>
    <row r="789" spans="23:23">
      <c r="W789">
        <f t="shared" si="15"/>
        <v>0</v>
      </c>
    </row>
    <row r="790" spans="23:23">
      <c r="W790">
        <f t="shared" si="15"/>
        <v>0</v>
      </c>
    </row>
    <row r="791" spans="23:23">
      <c r="W791">
        <f t="shared" si="15"/>
        <v>0</v>
      </c>
    </row>
    <row r="792" spans="23:23">
      <c r="W792">
        <f t="shared" si="15"/>
        <v>0</v>
      </c>
    </row>
    <row r="793" spans="23:23">
      <c r="W793">
        <f t="shared" si="15"/>
        <v>0</v>
      </c>
    </row>
    <row r="794" spans="23:23">
      <c r="W794">
        <f t="shared" si="15"/>
        <v>0</v>
      </c>
    </row>
    <row r="795" spans="23:23">
      <c r="W795">
        <f t="shared" si="15"/>
        <v>0</v>
      </c>
    </row>
    <row r="796" spans="23:23">
      <c r="W796">
        <f t="shared" si="15"/>
        <v>0</v>
      </c>
    </row>
    <row r="797" spans="23:23">
      <c r="W797">
        <f t="shared" si="15"/>
        <v>0</v>
      </c>
    </row>
    <row r="798" spans="23:23">
      <c r="W798">
        <f t="shared" si="15"/>
        <v>0</v>
      </c>
    </row>
    <row r="799" spans="23:23">
      <c r="W799">
        <f t="shared" si="15"/>
        <v>0</v>
      </c>
    </row>
    <row r="800" spans="23:23">
      <c r="W800">
        <f t="shared" si="15"/>
        <v>0</v>
      </c>
    </row>
    <row r="801" spans="23:23">
      <c r="W801">
        <f t="shared" si="15"/>
        <v>0</v>
      </c>
    </row>
    <row r="802" spans="23:23">
      <c r="W802">
        <f t="shared" si="15"/>
        <v>0</v>
      </c>
    </row>
    <row r="803" spans="23:23">
      <c r="W803">
        <f t="shared" si="15"/>
        <v>0</v>
      </c>
    </row>
    <row r="804" spans="23:23">
      <c r="W804">
        <f t="shared" si="15"/>
        <v>0</v>
      </c>
    </row>
    <row r="805" spans="23:23">
      <c r="W805">
        <f t="shared" si="15"/>
        <v>0</v>
      </c>
    </row>
    <row r="806" spans="23:23">
      <c r="W806">
        <f t="shared" si="15"/>
        <v>0</v>
      </c>
    </row>
    <row r="807" spans="23:23">
      <c r="W807">
        <f t="shared" si="15"/>
        <v>0</v>
      </c>
    </row>
    <row r="808" spans="23:23">
      <c r="W808">
        <f t="shared" si="15"/>
        <v>0</v>
      </c>
    </row>
    <row r="809" spans="23:23">
      <c r="W809">
        <f t="shared" si="15"/>
        <v>0</v>
      </c>
    </row>
    <row r="810" spans="23:23">
      <c r="W810">
        <f t="shared" si="15"/>
        <v>0</v>
      </c>
    </row>
    <row r="811" spans="23:23">
      <c r="W811">
        <f t="shared" si="15"/>
        <v>0</v>
      </c>
    </row>
    <row r="812" spans="23:23">
      <c r="W812">
        <f t="shared" si="15"/>
        <v>0</v>
      </c>
    </row>
    <row r="813" spans="23:23">
      <c r="W813">
        <f t="shared" si="15"/>
        <v>0</v>
      </c>
    </row>
    <row r="814" spans="23:23">
      <c r="W814">
        <f t="shared" si="15"/>
        <v>0</v>
      </c>
    </row>
    <row r="815" spans="23:23">
      <c r="W815">
        <f t="shared" si="15"/>
        <v>0</v>
      </c>
    </row>
    <row r="816" spans="23:23">
      <c r="W816">
        <f t="shared" si="15"/>
        <v>0</v>
      </c>
    </row>
    <row r="817" spans="23:23">
      <c r="W817">
        <f t="shared" si="15"/>
        <v>0</v>
      </c>
    </row>
    <row r="818" spans="23:23">
      <c r="W818">
        <f t="shared" si="15"/>
        <v>0</v>
      </c>
    </row>
    <row r="819" spans="23:23">
      <c r="W819">
        <f t="shared" si="15"/>
        <v>0</v>
      </c>
    </row>
    <row r="820" spans="23:23">
      <c r="W820">
        <f t="shared" si="15"/>
        <v>0</v>
      </c>
    </row>
    <row r="821" spans="23:23">
      <c r="W821">
        <f t="shared" si="15"/>
        <v>0</v>
      </c>
    </row>
    <row r="822" spans="23:23">
      <c r="W822">
        <f t="shared" si="15"/>
        <v>0</v>
      </c>
    </row>
    <row r="823" spans="23:23">
      <c r="W823">
        <f t="shared" si="15"/>
        <v>0</v>
      </c>
    </row>
    <row r="824" spans="23:23">
      <c r="W824">
        <f t="shared" si="15"/>
        <v>0</v>
      </c>
    </row>
    <row r="825" spans="23:23">
      <c r="W825">
        <f t="shared" si="15"/>
        <v>0</v>
      </c>
    </row>
    <row r="826" spans="23:23">
      <c r="W826">
        <f t="shared" si="15"/>
        <v>0</v>
      </c>
    </row>
    <row r="827" spans="23:23">
      <c r="W827">
        <f t="shared" si="15"/>
        <v>0</v>
      </c>
    </row>
    <row r="828" spans="23:23">
      <c r="W828">
        <f t="shared" si="15"/>
        <v>0</v>
      </c>
    </row>
    <row r="829" spans="23:23">
      <c r="W829">
        <f t="shared" si="15"/>
        <v>0</v>
      </c>
    </row>
    <row r="830" spans="23:23">
      <c r="W830">
        <f t="shared" si="15"/>
        <v>0</v>
      </c>
    </row>
    <row r="831" spans="23:23">
      <c r="W831">
        <f t="shared" si="15"/>
        <v>0</v>
      </c>
    </row>
  </sheetData>
  <autoFilter ref="A2:O46" xr:uid="{65116B19-AC4C-47EC-A216-AE985BFD7EEF}">
    <sortState xmlns:xlrd2="http://schemas.microsoft.com/office/spreadsheetml/2017/richdata2" ref="A3:O46">
      <sortCondition ref="E2"/>
    </sortState>
  </autoFilter>
  <conditionalFormatting sqref="A1:A2">
    <cfRule type="duplicateValues" dxfId="1178" priority="623"/>
    <cfRule type="duplicateValues" dxfId="1177" priority="625"/>
    <cfRule type="duplicateValues" dxfId="1176" priority="626"/>
    <cfRule type="duplicateValues" dxfId="1175" priority="628"/>
    <cfRule type="duplicateValues" dxfId="1174" priority="629"/>
    <cfRule type="duplicateValues" dxfId="1173" priority="630"/>
    <cfRule type="duplicateValues" dxfId="1172" priority="631"/>
    <cfRule type="duplicateValues" dxfId="1171" priority="636"/>
  </conditionalFormatting>
  <conditionalFormatting sqref="A1:A1048576">
    <cfRule type="duplicateValues" dxfId="1170" priority="439"/>
    <cfRule type="duplicateValues" dxfId="1169" priority="584"/>
  </conditionalFormatting>
  <conditionalFormatting sqref="A3:A4">
    <cfRule type="duplicateValues" dxfId="1168" priority="490"/>
    <cfRule type="duplicateValues" dxfId="1167" priority="491"/>
    <cfRule type="duplicateValues" dxfId="1166" priority="492"/>
    <cfRule type="duplicateValues" dxfId="1165" priority="493"/>
    <cfRule type="duplicateValues" dxfId="1164" priority="494"/>
    <cfRule type="duplicateValues" dxfId="1163" priority="495"/>
    <cfRule type="duplicateValues" dxfId="1162" priority="496"/>
    <cfRule type="duplicateValues" dxfId="1161" priority="497"/>
    <cfRule type="duplicateValues" dxfId="1160" priority="498"/>
    <cfRule type="duplicateValues" dxfId="1159" priority="499"/>
    <cfRule type="duplicateValues" dxfId="1158" priority="500"/>
    <cfRule type="duplicateValues" dxfId="1157" priority="501"/>
    <cfRule type="duplicateValues" dxfId="1156" priority="502"/>
    <cfRule type="duplicateValues" dxfId="1155" priority="503"/>
    <cfRule type="duplicateValues" dxfId="1154" priority="504"/>
    <cfRule type="duplicateValues" dxfId="1153" priority="505"/>
    <cfRule type="duplicateValues" dxfId="1152" priority="506"/>
    <cfRule type="duplicateValues" dxfId="1151" priority="507"/>
    <cfRule type="duplicateValues" dxfId="1150" priority="508"/>
  </conditionalFormatting>
  <conditionalFormatting sqref="A5:A26">
    <cfRule type="duplicateValues" dxfId="1149" priority="3943"/>
    <cfRule type="duplicateValues" dxfId="1148" priority="3944"/>
    <cfRule type="duplicateValues" dxfId="1147" priority="3945"/>
    <cfRule type="duplicateValues" dxfId="1146" priority="3946"/>
    <cfRule type="duplicateValues" dxfId="1145" priority="3947"/>
    <cfRule type="duplicateValues" dxfId="1144" priority="3948"/>
    <cfRule type="duplicateValues" dxfId="1143" priority="3949"/>
    <cfRule type="duplicateValues" dxfId="1142" priority="3950"/>
    <cfRule type="duplicateValues" dxfId="1141" priority="3951"/>
    <cfRule type="duplicateValues" dxfId="1140" priority="3952"/>
    <cfRule type="duplicateValues" dxfId="1139" priority="3953"/>
    <cfRule type="duplicateValues" dxfId="1138" priority="3954"/>
    <cfRule type="duplicateValues" dxfId="1137" priority="3955"/>
    <cfRule type="duplicateValues" dxfId="1136" priority="3956"/>
    <cfRule type="duplicateValues" dxfId="1135" priority="3957"/>
    <cfRule type="duplicateValues" dxfId="1134" priority="3958"/>
    <cfRule type="duplicateValues" dxfId="1133" priority="3959"/>
    <cfRule type="duplicateValues" dxfId="1132" priority="3960"/>
    <cfRule type="duplicateValues" dxfId="1131" priority="3961"/>
  </conditionalFormatting>
  <conditionalFormatting sqref="A27">
    <cfRule type="duplicateValues" dxfId="1130" priority="302"/>
    <cfRule type="duplicateValues" dxfId="1129" priority="303"/>
    <cfRule type="duplicateValues" dxfId="1128" priority="304"/>
    <cfRule type="duplicateValues" dxfId="1127" priority="305"/>
    <cfRule type="duplicateValues" dxfId="1126" priority="306"/>
    <cfRule type="duplicateValues" dxfId="1125" priority="307"/>
    <cfRule type="duplicateValues" dxfId="1124" priority="308"/>
    <cfRule type="duplicateValues" dxfId="1123" priority="309"/>
    <cfRule type="duplicateValues" dxfId="1122" priority="310"/>
    <cfRule type="duplicateValues" dxfId="1121" priority="311"/>
    <cfRule type="duplicateValues" dxfId="1120" priority="312"/>
    <cfRule type="duplicateValues" dxfId="1119" priority="313"/>
    <cfRule type="duplicateValues" dxfId="1118" priority="314"/>
    <cfRule type="duplicateValues" dxfId="1117" priority="315"/>
    <cfRule type="duplicateValues" dxfId="1116" priority="316"/>
    <cfRule type="duplicateValues" dxfId="1115" priority="317"/>
    <cfRule type="duplicateValues" dxfId="1114" priority="318"/>
    <cfRule type="duplicateValues" dxfId="1113" priority="319"/>
    <cfRule type="duplicateValues" dxfId="1112" priority="320"/>
  </conditionalFormatting>
  <conditionalFormatting sqref="A28:A32">
    <cfRule type="duplicateValues" dxfId="1111" priority="91"/>
    <cfRule type="duplicateValues" dxfId="1110" priority="92"/>
    <cfRule type="duplicateValues" dxfId="1109" priority="93"/>
    <cfRule type="duplicateValues" dxfId="1108" priority="94"/>
    <cfRule type="duplicateValues" dxfId="1107" priority="95"/>
    <cfRule type="duplicateValues" dxfId="1106" priority="96"/>
    <cfRule type="duplicateValues" dxfId="1105" priority="97"/>
    <cfRule type="duplicateValues" dxfId="1104" priority="98"/>
    <cfRule type="duplicateValues" dxfId="1103" priority="99"/>
    <cfRule type="duplicateValues" dxfId="1102" priority="100"/>
    <cfRule type="duplicateValues" dxfId="1101" priority="101"/>
    <cfRule type="duplicateValues" dxfId="1100" priority="102"/>
    <cfRule type="duplicateValues" dxfId="1099" priority="103"/>
    <cfRule type="duplicateValues" dxfId="1098" priority="104"/>
    <cfRule type="duplicateValues" dxfId="1097" priority="105"/>
    <cfRule type="duplicateValues" dxfId="1096" priority="106"/>
    <cfRule type="duplicateValues" dxfId="1095" priority="107"/>
    <cfRule type="duplicateValues" dxfId="1094" priority="108"/>
    <cfRule type="duplicateValues" dxfId="1093" priority="109"/>
  </conditionalFormatting>
  <conditionalFormatting sqref="A33:A46">
    <cfRule type="duplicateValues" dxfId="1092" priority="269"/>
    <cfRule type="duplicateValues" dxfId="1091" priority="270"/>
    <cfRule type="duplicateValues" dxfId="1090" priority="271"/>
    <cfRule type="duplicateValues" dxfId="1089" priority="272"/>
    <cfRule type="duplicateValues" dxfId="1088" priority="273"/>
    <cfRule type="duplicateValues" dxfId="1087" priority="274"/>
    <cfRule type="duplicateValues" dxfId="1086" priority="275"/>
    <cfRule type="duplicateValues" dxfId="1085" priority="276"/>
    <cfRule type="duplicateValues" dxfId="1084" priority="277"/>
    <cfRule type="duplicateValues" dxfId="1083" priority="278"/>
    <cfRule type="duplicateValues" dxfId="1082" priority="279"/>
    <cfRule type="duplicateValues" dxfId="1081" priority="280"/>
    <cfRule type="duplicateValues" dxfId="1080" priority="281"/>
    <cfRule type="duplicateValues" dxfId="1079" priority="282"/>
    <cfRule type="duplicateValues" dxfId="1078" priority="283"/>
    <cfRule type="duplicateValues" dxfId="1077" priority="284"/>
    <cfRule type="duplicateValues" dxfId="1076" priority="285"/>
    <cfRule type="duplicateValues" dxfId="1075" priority="286"/>
    <cfRule type="duplicateValues" dxfId="1074" priority="287"/>
  </conditionalFormatting>
  <conditionalFormatting sqref="A47:A1048576 A1:A2">
    <cfRule type="duplicateValues" dxfId="1073" priority="618"/>
    <cfRule type="duplicateValues" dxfId="1072" priority="619"/>
    <cfRule type="duplicateValues" dxfId="1071" priority="620"/>
    <cfRule type="duplicateValues" dxfId="1070" priority="639"/>
    <cfRule type="duplicateValues" dxfId="1069" priority="640"/>
    <cfRule type="duplicateValues" dxfId="1068" priority="641"/>
    <cfRule type="duplicateValues" dxfId="1067" priority="642"/>
    <cfRule type="duplicateValues" dxfId="1066" priority="643"/>
    <cfRule type="duplicateValues" dxfId="1065" priority="644"/>
    <cfRule type="duplicateValues" dxfId="1064" priority="645"/>
    <cfRule type="duplicateValues" dxfId="1063" priority="646"/>
    <cfRule type="duplicateValues" dxfId="1062" priority="647"/>
  </conditionalFormatting>
  <conditionalFormatting sqref="A47:A1048576 D1:D2 A1:A2 D47:D1048576">
    <cfRule type="duplicateValues" dxfId="1061" priority="3484"/>
  </conditionalFormatting>
  <conditionalFormatting sqref="A47:A1048576">
    <cfRule type="duplicateValues" dxfId="1060" priority="648"/>
    <cfRule type="duplicateValues" dxfId="1059" priority="649"/>
    <cfRule type="duplicateValues" dxfId="1058" priority="650"/>
  </conditionalFormatting>
  <conditionalFormatting sqref="D1:D2">
    <cfRule type="duplicateValues" dxfId="1057" priority="624"/>
    <cfRule type="duplicateValues" dxfId="1056" priority="627"/>
    <cfRule type="duplicateValues" dxfId="1055" priority="632"/>
    <cfRule type="duplicateValues" dxfId="1054" priority="633"/>
    <cfRule type="duplicateValues" dxfId="1053" priority="634"/>
    <cfRule type="duplicateValues" dxfId="1052" priority="635"/>
    <cfRule type="duplicateValues" dxfId="1051" priority="637"/>
  </conditionalFormatting>
  <conditionalFormatting sqref="D1:D1048576">
    <cfRule type="duplicateValues" dxfId="1050" priority="438"/>
  </conditionalFormatting>
  <conditionalFormatting sqref="D3:D4 A3:A4">
    <cfRule type="duplicateValues" dxfId="1049" priority="509"/>
  </conditionalFormatting>
  <conditionalFormatting sqref="D3:D4">
    <cfRule type="duplicateValues" dxfId="1048" priority="510"/>
    <cfRule type="duplicateValues" dxfId="1047" priority="511"/>
    <cfRule type="duplicateValues" dxfId="1046" priority="512"/>
    <cfRule type="duplicateValues" dxfId="1045" priority="513"/>
    <cfRule type="duplicateValues" dxfId="1044" priority="514"/>
    <cfRule type="duplicateValues" dxfId="1043" priority="515"/>
    <cfRule type="duplicateValues" dxfId="1042" priority="516"/>
    <cfRule type="duplicateValues" dxfId="1041" priority="517"/>
    <cfRule type="duplicateValues" dxfId="1040" priority="518"/>
    <cfRule type="duplicateValues" dxfId="1039" priority="519"/>
    <cfRule type="duplicateValues" dxfId="1038" priority="520"/>
    <cfRule type="duplicateValues" dxfId="1037" priority="521"/>
    <cfRule type="duplicateValues" dxfId="1036" priority="522"/>
  </conditionalFormatting>
  <conditionalFormatting sqref="D5:D26 A5:A26">
    <cfRule type="duplicateValues" dxfId="1035" priority="4028"/>
  </conditionalFormatting>
  <conditionalFormatting sqref="D5:D26">
    <cfRule type="duplicateValues" dxfId="1034" priority="4032"/>
    <cfRule type="duplicateValues" dxfId="1033" priority="4033"/>
    <cfRule type="duplicateValues" dxfId="1032" priority="4034"/>
    <cfRule type="duplicateValues" dxfId="1031" priority="4035"/>
    <cfRule type="duplicateValues" dxfId="1030" priority="4036"/>
    <cfRule type="duplicateValues" dxfId="1029" priority="4037"/>
    <cfRule type="duplicateValues" dxfId="1028" priority="4038"/>
    <cfRule type="duplicateValues" dxfId="1027" priority="4039"/>
    <cfRule type="duplicateValues" dxfId="1026" priority="4040"/>
    <cfRule type="duplicateValues" dxfId="1025" priority="4041"/>
    <cfRule type="duplicateValues" dxfId="1024" priority="4042"/>
    <cfRule type="duplicateValues" dxfId="1023" priority="4043"/>
    <cfRule type="duplicateValues" dxfId="1022" priority="4044"/>
  </conditionalFormatting>
  <conditionalFormatting sqref="D27 A27">
    <cfRule type="duplicateValues" dxfId="1021" priority="321"/>
  </conditionalFormatting>
  <conditionalFormatting sqref="D27">
    <cfRule type="duplicateValues" dxfId="1020" priority="322"/>
    <cfRule type="duplicateValues" dxfId="1019" priority="323"/>
    <cfRule type="duplicateValues" dxfId="1018" priority="324"/>
    <cfRule type="duplicateValues" dxfId="1017" priority="325"/>
    <cfRule type="duplicateValues" dxfId="1016" priority="326"/>
    <cfRule type="duplicateValues" dxfId="1015" priority="327"/>
    <cfRule type="duplicateValues" dxfId="1014" priority="328"/>
    <cfRule type="duplicateValues" dxfId="1013" priority="329"/>
    <cfRule type="duplicateValues" dxfId="1012" priority="330"/>
    <cfRule type="duplicateValues" dxfId="1011" priority="331"/>
    <cfRule type="duplicateValues" dxfId="1010" priority="332"/>
    <cfRule type="duplicateValues" dxfId="1009" priority="333"/>
    <cfRule type="duplicateValues" dxfId="1008" priority="334"/>
  </conditionalFormatting>
  <conditionalFormatting sqref="D28:D32 A28:A32">
    <cfRule type="duplicateValues" dxfId="1007" priority="110"/>
  </conditionalFormatting>
  <conditionalFormatting sqref="D28:D32">
    <cfRule type="duplicateValues" dxfId="1006" priority="111"/>
    <cfRule type="duplicateValues" dxfId="1005" priority="112"/>
    <cfRule type="duplicateValues" dxfId="1004" priority="113"/>
    <cfRule type="duplicateValues" dxfId="1003" priority="114"/>
    <cfRule type="duplicateValues" dxfId="1002" priority="115"/>
    <cfRule type="duplicateValues" dxfId="1001" priority="116"/>
    <cfRule type="duplicateValues" dxfId="1000" priority="117"/>
    <cfRule type="duplicateValues" dxfId="999" priority="118"/>
    <cfRule type="duplicateValues" dxfId="998" priority="119"/>
    <cfRule type="duplicateValues" dxfId="997" priority="120"/>
    <cfRule type="duplicateValues" dxfId="996" priority="121"/>
    <cfRule type="duplicateValues" dxfId="995" priority="122"/>
    <cfRule type="duplicateValues" dxfId="994" priority="123"/>
  </conditionalFormatting>
  <conditionalFormatting sqref="D33:D46 A33:A46">
    <cfRule type="duplicateValues" dxfId="993" priority="288"/>
  </conditionalFormatting>
  <conditionalFormatting sqref="D33:D46">
    <cfRule type="duplicateValues" dxfId="992" priority="289"/>
    <cfRule type="duplicateValues" dxfId="991" priority="290"/>
    <cfRule type="duplicateValues" dxfId="990" priority="291"/>
    <cfRule type="duplicateValues" dxfId="989" priority="292"/>
    <cfRule type="duplicateValues" dxfId="988" priority="293"/>
    <cfRule type="duplicateValues" dxfId="987" priority="294"/>
    <cfRule type="duplicateValues" dxfId="986" priority="295"/>
    <cfRule type="duplicateValues" dxfId="985" priority="296"/>
    <cfRule type="duplicateValues" dxfId="984" priority="297"/>
    <cfRule type="duplicateValues" dxfId="983" priority="298"/>
    <cfRule type="duplicateValues" dxfId="982" priority="299"/>
    <cfRule type="duplicateValues" dxfId="981" priority="300"/>
    <cfRule type="duplicateValues" dxfId="980" priority="301"/>
  </conditionalFormatting>
  <conditionalFormatting sqref="D47:D1048576 D1:D2">
    <cfRule type="duplicateValues" dxfId="979" priority="3492"/>
    <cfRule type="duplicateValues" dxfId="978" priority="3493"/>
    <cfRule type="duplicateValues" dxfId="977" priority="3494"/>
    <cfRule type="duplicateValues" dxfId="976" priority="3495"/>
    <cfRule type="duplicateValues" dxfId="975" priority="3496"/>
    <cfRule type="duplicateValues" dxfId="974" priority="3497"/>
    <cfRule type="duplicateValues" dxfId="973" priority="3498"/>
    <cfRule type="duplicateValues" dxfId="972" priority="3499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3F4BF-2687-42B8-B7B2-015AFF9521D6}">
  <sheetPr codeName="Hoja47">
    <tabColor theme="9" tint="0.39997558519241921"/>
  </sheetPr>
  <dimension ref="A1:P18"/>
  <sheetViews>
    <sheetView workbookViewId="0">
      <selection activeCell="J10" sqref="J10"/>
    </sheetView>
  </sheetViews>
  <sheetFormatPr defaultColWidth="11.42578125" defaultRowHeight="14.45"/>
  <cols>
    <col min="1" max="1" width="18.140625" style="90" customWidth="1"/>
    <col min="2" max="2" width="19.7109375" style="91" bestFit="1" customWidth="1"/>
    <col min="3" max="3" width="15.140625" style="57" bestFit="1" customWidth="1"/>
    <col min="4" max="4" width="13.7109375" style="92" bestFit="1" customWidth="1"/>
    <col min="5" max="5" width="7.140625" style="92" customWidth="1"/>
    <col min="6" max="6" width="7.42578125" style="57" customWidth="1"/>
    <col min="7" max="7" width="12.7109375" style="57" bestFit="1" customWidth="1"/>
    <col min="8" max="8" width="12.7109375" style="58" bestFit="1" customWidth="1"/>
    <col min="9" max="9" width="17" style="131" customWidth="1"/>
    <col min="10" max="10" width="11.5703125" style="52" customWidth="1"/>
    <col min="11" max="11" width="10.7109375" style="157" customWidth="1"/>
    <col min="12" max="13" width="8.7109375" customWidth="1"/>
    <col min="14" max="14" width="16.7109375" style="57" bestFit="1" customWidth="1"/>
    <col min="15" max="15" width="11.42578125" style="59"/>
  </cols>
  <sheetData>
    <row r="1" spans="1:16" ht="15" customHeight="1">
      <c r="C1" s="91"/>
      <c r="D1" s="57"/>
      <c r="F1" s="92"/>
      <c r="H1" s="57"/>
      <c r="I1" s="98"/>
      <c r="J1" s="130"/>
      <c r="K1" s="156"/>
      <c r="L1" s="100"/>
      <c r="M1" s="138"/>
      <c r="N1" s="115">
        <f>SUM(M3:M116)</f>
        <v>62950</v>
      </c>
      <c r="O1" s="57"/>
      <c r="P1" s="59"/>
    </row>
    <row r="2" spans="1:16" ht="24.4" customHeight="1">
      <c r="A2" s="39" t="s">
        <v>45</v>
      </c>
      <c r="B2" s="39" t="s">
        <v>491</v>
      </c>
      <c r="C2" s="39" t="s">
        <v>47</v>
      </c>
      <c r="D2" s="39" t="s">
        <v>49</v>
      </c>
      <c r="E2" s="60" t="s">
        <v>50</v>
      </c>
      <c r="F2" s="60" t="s">
        <v>51</v>
      </c>
      <c r="G2" s="39" t="s">
        <v>52</v>
      </c>
      <c r="H2" s="40" t="s">
        <v>53</v>
      </c>
      <c r="I2" s="40" t="s">
        <v>54</v>
      </c>
      <c r="J2" s="101" t="s">
        <v>58</v>
      </c>
      <c r="K2" s="101" t="s">
        <v>766</v>
      </c>
      <c r="L2" s="137" t="s">
        <v>55</v>
      </c>
      <c r="M2" s="204"/>
      <c r="N2" s="462"/>
      <c r="O2" s="57"/>
      <c r="P2" s="59"/>
    </row>
    <row r="3" spans="1:16" s="14" customFormat="1" ht="30" customHeight="1">
      <c r="A3" s="310" t="s">
        <v>2471</v>
      </c>
      <c r="B3" s="106" t="s">
        <v>2472</v>
      </c>
      <c r="C3" s="260" t="s">
        <v>2473</v>
      </c>
      <c r="D3" s="32" t="s">
        <v>2474</v>
      </c>
      <c r="E3" s="34">
        <v>46259</v>
      </c>
      <c r="F3" s="34">
        <v>46287</v>
      </c>
      <c r="G3" s="32" t="s">
        <v>482</v>
      </c>
      <c r="H3" s="32" t="s">
        <v>66</v>
      </c>
      <c r="I3" s="112" t="s">
        <v>105</v>
      </c>
      <c r="J3" s="81">
        <v>7850</v>
      </c>
      <c r="K3" s="143">
        <v>0</v>
      </c>
      <c r="L3" s="198">
        <f t="shared" ref="L3" si="0">SUM(J3:K3)</f>
        <v>7850</v>
      </c>
      <c r="M3" s="198">
        <f>L3</f>
        <v>7850</v>
      </c>
      <c r="N3" s="462"/>
      <c r="O3" s="132" t="s">
        <v>56</v>
      </c>
      <c r="P3" s="368" t="s">
        <v>57</v>
      </c>
    </row>
    <row r="4" spans="1:16" ht="30" customHeight="1">
      <c r="A4" s="310" t="s">
        <v>2475</v>
      </c>
      <c r="B4" s="106" t="s">
        <v>2472</v>
      </c>
      <c r="C4" s="260" t="s">
        <v>2473</v>
      </c>
      <c r="D4" s="32" t="s">
        <v>2476</v>
      </c>
      <c r="E4" s="34">
        <v>46274</v>
      </c>
      <c r="F4" s="34">
        <v>46308</v>
      </c>
      <c r="G4" s="32" t="s">
        <v>89</v>
      </c>
      <c r="H4" s="32" t="s">
        <v>621</v>
      </c>
      <c r="I4" s="112" t="s">
        <v>105</v>
      </c>
      <c r="J4" s="81">
        <v>7650</v>
      </c>
      <c r="K4" s="143">
        <v>0</v>
      </c>
      <c r="L4" s="198">
        <f t="shared" ref="L4:L7" si="1">SUM(J4:K4)</f>
        <v>7650</v>
      </c>
      <c r="M4" s="198">
        <f>L4</f>
        <v>7650</v>
      </c>
      <c r="O4" s="150"/>
      <c r="P4" s="151"/>
    </row>
    <row r="5" spans="1:16" ht="30" customHeight="1">
      <c r="A5" s="310" t="s">
        <v>2477</v>
      </c>
      <c r="B5" s="106" t="s">
        <v>2472</v>
      </c>
      <c r="C5" s="260" t="s">
        <v>2473</v>
      </c>
      <c r="D5" s="32" t="s">
        <v>2478</v>
      </c>
      <c r="E5" s="34">
        <v>46274</v>
      </c>
      <c r="F5" s="34">
        <v>46308</v>
      </c>
      <c r="G5" s="32" t="s">
        <v>89</v>
      </c>
      <c r="H5" s="32" t="s">
        <v>621</v>
      </c>
      <c r="I5" s="112" t="s">
        <v>105</v>
      </c>
      <c r="J5" s="81">
        <v>7650</v>
      </c>
      <c r="K5" s="143">
        <v>0</v>
      </c>
      <c r="L5" s="198">
        <f t="shared" si="1"/>
        <v>7650</v>
      </c>
      <c r="M5" s="198">
        <f t="shared" ref="M5:M7" si="2">L5</f>
        <v>7650</v>
      </c>
      <c r="N5" s="59"/>
      <c r="O5" s="150"/>
      <c r="P5" s="151"/>
    </row>
    <row r="6" spans="1:16" ht="30" customHeight="1">
      <c r="A6" s="310" t="s">
        <v>2479</v>
      </c>
      <c r="B6" s="106" t="s">
        <v>2472</v>
      </c>
      <c r="C6" s="260" t="s">
        <v>2473</v>
      </c>
      <c r="D6" s="32" t="s">
        <v>2480</v>
      </c>
      <c r="E6" s="34">
        <v>46274</v>
      </c>
      <c r="F6" s="34">
        <v>46308</v>
      </c>
      <c r="G6" s="32" t="s">
        <v>89</v>
      </c>
      <c r="H6" s="32" t="s">
        <v>621</v>
      </c>
      <c r="I6" s="112" t="s">
        <v>105</v>
      </c>
      <c r="J6" s="81">
        <v>7650</v>
      </c>
      <c r="K6" s="143">
        <v>0</v>
      </c>
      <c r="L6" s="198">
        <f t="shared" si="1"/>
        <v>7650</v>
      </c>
      <c r="M6" s="198">
        <f t="shared" si="2"/>
        <v>7650</v>
      </c>
    </row>
    <row r="7" spans="1:16" ht="30" customHeight="1">
      <c r="A7" s="310" t="s">
        <v>2481</v>
      </c>
      <c r="B7" s="106" t="s">
        <v>2472</v>
      </c>
      <c r="C7" s="260" t="s">
        <v>2473</v>
      </c>
      <c r="D7" s="32" t="s">
        <v>2482</v>
      </c>
      <c r="E7" s="34">
        <v>46274</v>
      </c>
      <c r="F7" s="34">
        <v>46308</v>
      </c>
      <c r="G7" s="32" t="s">
        <v>89</v>
      </c>
      <c r="H7" s="32" t="s">
        <v>621</v>
      </c>
      <c r="I7" s="112" t="s">
        <v>105</v>
      </c>
      <c r="J7" s="81">
        <v>7650</v>
      </c>
      <c r="K7" s="143">
        <v>0</v>
      </c>
      <c r="L7" s="198">
        <f t="shared" si="1"/>
        <v>7650</v>
      </c>
      <c r="M7" s="198">
        <f t="shared" si="2"/>
        <v>7650</v>
      </c>
    </row>
    <row r="8" spans="1:16" ht="27.6">
      <c r="A8" s="448" t="s">
        <v>2483</v>
      </c>
      <c r="B8" s="423" t="s">
        <v>2472</v>
      </c>
      <c r="C8" s="449" t="s">
        <v>2473</v>
      </c>
      <c r="D8" s="425" t="s">
        <v>2484</v>
      </c>
      <c r="E8" s="426">
        <v>46295</v>
      </c>
      <c r="F8" s="426">
        <v>46331</v>
      </c>
      <c r="G8" s="425" t="s">
        <v>89</v>
      </c>
      <c r="H8" s="425" t="s">
        <v>621</v>
      </c>
      <c r="I8" s="450" t="s">
        <v>105</v>
      </c>
      <c r="J8" s="432">
        <v>5850</v>
      </c>
      <c r="K8" s="451">
        <v>0</v>
      </c>
      <c r="L8" s="452">
        <f>SUM(J8:K8)</f>
        <v>5850</v>
      </c>
      <c r="M8" s="452">
        <f>L8</f>
        <v>5850</v>
      </c>
    </row>
    <row r="9" spans="1:16" ht="27.6">
      <c r="A9" s="448" t="s">
        <v>2485</v>
      </c>
      <c r="B9" s="423" t="s">
        <v>2472</v>
      </c>
      <c r="C9" s="449" t="s">
        <v>2473</v>
      </c>
      <c r="D9" s="425" t="s">
        <v>2486</v>
      </c>
      <c r="E9" s="426">
        <v>46295</v>
      </c>
      <c r="F9" s="426">
        <v>46331</v>
      </c>
      <c r="G9" s="425" t="s">
        <v>89</v>
      </c>
      <c r="H9" s="425" t="s">
        <v>621</v>
      </c>
      <c r="I9" s="450" t="s">
        <v>105</v>
      </c>
      <c r="J9" s="432">
        <v>5850</v>
      </c>
      <c r="K9" s="451">
        <v>0</v>
      </c>
      <c r="L9" s="452">
        <f>SUM(J9:K9)</f>
        <v>5850</v>
      </c>
      <c r="M9" s="452">
        <f>L9</f>
        <v>5850</v>
      </c>
    </row>
    <row r="10" spans="1:16" ht="27.6">
      <c r="A10" s="448" t="s">
        <v>2487</v>
      </c>
      <c r="B10" s="423" t="s">
        <v>2472</v>
      </c>
      <c r="C10" s="449" t="s">
        <v>2473</v>
      </c>
      <c r="D10" s="425" t="s">
        <v>2488</v>
      </c>
      <c r="E10" s="426">
        <v>46295</v>
      </c>
      <c r="F10" s="426">
        <v>46322</v>
      </c>
      <c r="G10" s="425" t="s">
        <v>89</v>
      </c>
      <c r="H10" s="425" t="s">
        <v>621</v>
      </c>
      <c r="I10" s="450" t="s">
        <v>105</v>
      </c>
      <c r="J10" s="432">
        <v>6400</v>
      </c>
      <c r="K10" s="451">
        <v>0</v>
      </c>
      <c r="L10" s="452">
        <f>SUM(J10:K10)</f>
        <v>6400</v>
      </c>
      <c r="M10" s="452">
        <f>L10</f>
        <v>6400</v>
      </c>
    </row>
    <row r="11" spans="1:16" ht="27.6">
      <c r="A11" s="448" t="s">
        <v>2489</v>
      </c>
      <c r="B11" s="423" t="s">
        <v>2472</v>
      </c>
      <c r="C11" s="449" t="s">
        <v>2473</v>
      </c>
      <c r="D11" s="425" t="s">
        <v>2490</v>
      </c>
      <c r="E11" s="426">
        <v>46295</v>
      </c>
      <c r="F11" s="426">
        <v>46322</v>
      </c>
      <c r="G11" s="425" t="s">
        <v>89</v>
      </c>
      <c r="H11" s="425" t="s">
        <v>621</v>
      </c>
      <c r="I11" s="450" t="s">
        <v>105</v>
      </c>
      <c r="J11" s="432">
        <v>6400</v>
      </c>
      <c r="K11" s="451">
        <v>0</v>
      </c>
      <c r="L11" s="452">
        <f>SUM(J11:K11)</f>
        <v>6400</v>
      </c>
      <c r="M11" s="452">
        <f>L11</f>
        <v>6400</v>
      </c>
    </row>
    <row r="15" spans="1:16">
      <c r="F15"/>
      <c r="G15"/>
      <c r="H15"/>
    </row>
    <row r="16" spans="1:16">
      <c r="F16"/>
      <c r="G16"/>
      <c r="H16"/>
    </row>
    <row r="17" spans="6:8">
      <c r="F17"/>
      <c r="G17"/>
      <c r="H17"/>
    </row>
    <row r="18" spans="6:8">
      <c r="F18"/>
      <c r="G18"/>
      <c r="H18"/>
    </row>
  </sheetData>
  <mergeCells count="1">
    <mergeCell ref="N2:N3"/>
  </mergeCells>
  <conditionalFormatting sqref="A1:A2">
    <cfRule type="duplicateValues" dxfId="971" priority="25"/>
    <cfRule type="duplicateValues" dxfId="970" priority="27"/>
    <cfRule type="duplicateValues" dxfId="969" priority="28"/>
    <cfRule type="duplicateValues" dxfId="968" priority="30"/>
    <cfRule type="duplicateValues" dxfId="967" priority="31"/>
    <cfRule type="duplicateValues" dxfId="966" priority="32"/>
    <cfRule type="duplicateValues" dxfId="965" priority="33"/>
    <cfRule type="duplicateValues" dxfId="964" priority="38"/>
  </conditionalFormatting>
  <conditionalFormatting sqref="A1:A1048576">
    <cfRule type="duplicateValues" dxfId="963" priority="21"/>
    <cfRule type="duplicateValues" dxfId="962" priority="22"/>
    <cfRule type="duplicateValues" dxfId="961" priority="48"/>
    <cfRule type="duplicateValues" dxfId="960" priority="49"/>
  </conditionalFormatting>
  <conditionalFormatting sqref="A3:A11">
    <cfRule type="duplicateValues" dxfId="959" priority="59"/>
    <cfRule type="duplicateValues" dxfId="958" priority="60"/>
    <cfRule type="duplicateValues" dxfId="957" priority="61"/>
    <cfRule type="duplicateValues" dxfId="956" priority="62"/>
    <cfRule type="duplicateValues" dxfId="955" priority="63"/>
    <cfRule type="duplicateValues" dxfId="954" priority="64"/>
    <cfRule type="duplicateValues" dxfId="953" priority="65"/>
    <cfRule type="duplicateValues" dxfId="952" priority="66"/>
    <cfRule type="duplicateValues" dxfId="951" priority="67"/>
    <cfRule type="duplicateValues" dxfId="950" priority="68"/>
    <cfRule type="duplicateValues" dxfId="949" priority="69"/>
    <cfRule type="duplicateValues" dxfId="948" priority="70"/>
    <cfRule type="duplicateValues" dxfId="947" priority="71"/>
    <cfRule type="duplicateValues" dxfId="946" priority="72"/>
    <cfRule type="duplicateValues" dxfId="945" priority="73"/>
  </conditionalFormatting>
  <conditionalFormatting sqref="A12:A1048576 A1:A2">
    <cfRule type="duplicateValues" dxfId="944" priority="41"/>
    <cfRule type="duplicateValues" dxfId="943" priority="42"/>
    <cfRule type="duplicateValues" dxfId="942" priority="43"/>
    <cfRule type="duplicateValues" dxfId="941" priority="44"/>
    <cfRule type="duplicateValues" dxfId="940" priority="45"/>
    <cfRule type="duplicateValues" dxfId="939" priority="46"/>
    <cfRule type="duplicateValues" dxfId="938" priority="47"/>
  </conditionalFormatting>
  <conditionalFormatting sqref="A12:A1048576">
    <cfRule type="duplicateValues" dxfId="937" priority="50"/>
    <cfRule type="duplicateValues" dxfId="936" priority="51"/>
    <cfRule type="duplicateValues" dxfId="935" priority="52"/>
  </conditionalFormatting>
  <conditionalFormatting sqref="D1:D2">
    <cfRule type="duplicateValues" dxfId="934" priority="26"/>
    <cfRule type="duplicateValues" dxfId="933" priority="29"/>
    <cfRule type="duplicateValues" dxfId="932" priority="34"/>
    <cfRule type="duplicateValues" dxfId="931" priority="35"/>
    <cfRule type="duplicateValues" dxfId="930" priority="36"/>
    <cfRule type="duplicateValues" dxfId="929" priority="37"/>
    <cfRule type="duplicateValues" dxfId="928" priority="39"/>
  </conditionalFormatting>
  <conditionalFormatting sqref="D1:D1048576 A1:A1048576">
    <cfRule type="duplicateValues" dxfId="927" priority="40"/>
  </conditionalFormatting>
  <conditionalFormatting sqref="D1:D1048576">
    <cfRule type="duplicateValues" dxfId="926" priority="23"/>
    <cfRule type="duplicateValues" dxfId="925" priority="24"/>
  </conditionalFormatting>
  <conditionalFormatting sqref="D3:D11">
    <cfRule type="duplicateValues" dxfId="924" priority="74"/>
    <cfRule type="duplicateValues" dxfId="923" priority="75"/>
    <cfRule type="duplicateValues" dxfId="922" priority="76"/>
    <cfRule type="duplicateValues" dxfId="921" priority="77"/>
    <cfRule type="duplicateValues" dxfId="920" priority="78"/>
    <cfRule type="duplicateValues" dxfId="919" priority="79"/>
    <cfRule type="duplicateValues" dxfId="918" priority="80"/>
    <cfRule type="duplicateValues" dxfId="917" priority="81"/>
    <cfRule type="duplicateValues" dxfId="916" priority="82"/>
    <cfRule type="duplicateValues" dxfId="915" priority="83"/>
    <cfRule type="duplicateValues" dxfId="914" priority="84"/>
  </conditionalFormatting>
  <conditionalFormatting sqref="D12:D1048576 D1:D2">
    <cfRule type="duplicateValues" dxfId="913" priority="53"/>
    <cfRule type="duplicateValues" dxfId="912" priority="54"/>
    <cfRule type="duplicateValues" dxfId="911" priority="55"/>
    <cfRule type="duplicateValues" dxfId="910" priority="56"/>
    <cfRule type="duplicateValues" dxfId="909" priority="57"/>
    <cfRule type="duplicateValues" dxfId="908" priority="58"/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96EDE-368C-432B-9D46-FCFB6EFB7131}">
  <sheetPr codeName="Hoja41"/>
  <dimension ref="A1:R16"/>
  <sheetViews>
    <sheetView tabSelected="1" workbookViewId="0">
      <selection activeCell="M4" sqref="M4"/>
    </sheetView>
  </sheetViews>
  <sheetFormatPr defaultColWidth="11.42578125" defaultRowHeight="14.45"/>
  <cols>
    <col min="1" max="1" width="18.140625" style="90" customWidth="1"/>
    <col min="2" max="2" width="19.7109375" style="91" bestFit="1" customWidth="1"/>
    <col min="3" max="3" width="24.42578125" style="57" bestFit="1" customWidth="1"/>
    <col min="4" max="4" width="13.7109375" style="92" bestFit="1" customWidth="1"/>
    <col min="5" max="5" width="7.140625" style="92" customWidth="1"/>
    <col min="6" max="6" width="7.42578125" style="57" customWidth="1"/>
    <col min="7" max="7" width="12.7109375" style="57" bestFit="1" customWidth="1"/>
    <col min="8" max="8" width="12.7109375" style="58" bestFit="1" customWidth="1"/>
    <col min="9" max="9" width="18.7109375" style="131" customWidth="1"/>
    <col min="10" max="10" width="15.7109375" style="52" bestFit="1" customWidth="1"/>
    <col min="11" max="11" width="15.7109375" style="52" customWidth="1"/>
    <col min="12" max="12" width="9.7109375" style="52" customWidth="1"/>
    <col min="13" max="13" width="10.7109375" style="157" customWidth="1"/>
    <col min="14" max="15" width="8.7109375" customWidth="1"/>
    <col min="16" max="16" width="16.7109375" style="57" bestFit="1" customWidth="1"/>
    <col min="17" max="17" width="11.42578125" style="59"/>
  </cols>
  <sheetData>
    <row r="1" spans="1:18" ht="21">
      <c r="C1" s="91"/>
      <c r="D1" s="57"/>
      <c r="F1" s="92"/>
      <c r="H1" s="57"/>
      <c r="I1" s="98"/>
      <c r="J1" s="130"/>
      <c r="K1" s="130"/>
      <c r="L1" s="130"/>
      <c r="M1" s="156"/>
      <c r="N1" s="100"/>
      <c r="O1" s="138"/>
      <c r="P1" s="115">
        <f>SUM(N3:N82)-SUM(R4:R13)</f>
        <v>0</v>
      </c>
      <c r="Q1" s="57"/>
      <c r="R1" s="59"/>
    </row>
    <row r="2" spans="1:18" ht="27.6">
      <c r="A2" s="39" t="s">
        <v>45</v>
      </c>
      <c r="B2" s="39" t="s">
        <v>491</v>
      </c>
      <c r="C2" s="39" t="s">
        <v>47</v>
      </c>
      <c r="D2" s="39" t="s">
        <v>49</v>
      </c>
      <c r="E2" s="60" t="s">
        <v>50</v>
      </c>
      <c r="F2" s="60" t="s">
        <v>51</v>
      </c>
      <c r="G2" s="39" t="s">
        <v>52</v>
      </c>
      <c r="H2" s="40" t="s">
        <v>53</v>
      </c>
      <c r="I2" s="40" t="s">
        <v>54</v>
      </c>
      <c r="J2" s="101" t="s">
        <v>58</v>
      </c>
      <c r="K2" s="54" t="s">
        <v>556</v>
      </c>
      <c r="L2" s="54" t="s">
        <v>612</v>
      </c>
      <c r="M2" s="272" t="s">
        <v>766</v>
      </c>
      <c r="N2" s="137" t="s">
        <v>55</v>
      </c>
      <c r="O2" s="204"/>
      <c r="P2"/>
      <c r="Q2" s="57"/>
      <c r="R2" s="59"/>
    </row>
    <row r="3" spans="1:18" ht="14.25" customHeight="1">
      <c r="A3" s="210" t="s">
        <v>2491</v>
      </c>
      <c r="B3" s="211" t="s">
        <v>782</v>
      </c>
      <c r="C3" s="308" t="s">
        <v>2492</v>
      </c>
      <c r="D3" s="7" t="s">
        <v>2493</v>
      </c>
      <c r="E3" s="9">
        <v>46171</v>
      </c>
      <c r="F3" s="9">
        <v>46206</v>
      </c>
      <c r="G3" s="7" t="s">
        <v>89</v>
      </c>
      <c r="H3" s="7" t="s">
        <v>648</v>
      </c>
      <c r="I3" s="227" t="s">
        <v>105</v>
      </c>
      <c r="J3" s="12">
        <f>5500+180</f>
        <v>5680</v>
      </c>
      <c r="K3" s="12">
        <v>0</v>
      </c>
      <c r="L3" s="12">
        <v>0</v>
      </c>
      <c r="M3" s="258">
        <v>0</v>
      </c>
      <c r="N3" s="247">
        <f t="shared" ref="N3:N14" si="0">J3+K3+M3+L3</f>
        <v>5680</v>
      </c>
      <c r="O3" s="247">
        <v>0</v>
      </c>
      <c r="P3" s="1"/>
      <c r="Q3" s="132" t="s">
        <v>56</v>
      </c>
      <c r="R3" s="133" t="s">
        <v>57</v>
      </c>
    </row>
    <row r="4" spans="1:18" ht="27.6">
      <c r="A4" s="210" t="s">
        <v>2494</v>
      </c>
      <c r="B4" s="211" t="s">
        <v>782</v>
      </c>
      <c r="C4" s="308" t="s">
        <v>2492</v>
      </c>
      <c r="D4" s="7" t="s">
        <v>2495</v>
      </c>
      <c r="E4" s="9">
        <v>46180</v>
      </c>
      <c r="F4" s="9">
        <v>46206</v>
      </c>
      <c r="G4" s="7" t="s">
        <v>507</v>
      </c>
      <c r="H4" s="7" t="s">
        <v>648</v>
      </c>
      <c r="I4" s="227" t="s">
        <v>105</v>
      </c>
      <c r="J4" s="12">
        <v>6100</v>
      </c>
      <c r="K4" s="12">
        <v>0</v>
      </c>
      <c r="L4" s="12">
        <v>0</v>
      </c>
      <c r="M4" s="258">
        <v>180</v>
      </c>
      <c r="N4" s="247">
        <f t="shared" si="0"/>
        <v>6280</v>
      </c>
      <c r="O4" s="247">
        <v>0</v>
      </c>
      <c r="P4" s="6"/>
      <c r="Q4" s="150">
        <v>46252</v>
      </c>
      <c r="R4" s="151">
        <v>26570</v>
      </c>
    </row>
    <row r="5" spans="1:18" ht="27.6">
      <c r="A5" s="210" t="s">
        <v>2496</v>
      </c>
      <c r="B5" s="211" t="s">
        <v>782</v>
      </c>
      <c r="C5" s="308" t="s">
        <v>2492</v>
      </c>
      <c r="D5" s="7" t="s">
        <v>2497</v>
      </c>
      <c r="E5" s="9">
        <v>46194</v>
      </c>
      <c r="F5" s="9">
        <v>46224</v>
      </c>
      <c r="G5" s="7" t="s">
        <v>482</v>
      </c>
      <c r="H5" s="7" t="s">
        <v>66</v>
      </c>
      <c r="I5" s="227" t="s">
        <v>105</v>
      </c>
      <c r="J5" s="12">
        <v>6950</v>
      </c>
      <c r="K5" s="12">
        <v>0</v>
      </c>
      <c r="L5" s="12">
        <v>0</v>
      </c>
      <c r="M5" s="258">
        <v>180</v>
      </c>
      <c r="N5" s="247">
        <f t="shared" si="0"/>
        <v>7130</v>
      </c>
      <c r="O5" s="247">
        <v>0</v>
      </c>
      <c r="P5" s="6"/>
      <c r="Q5" s="150" t="s">
        <v>68</v>
      </c>
      <c r="R5" s="151">
        <v>2000</v>
      </c>
    </row>
    <row r="6" spans="1:18" ht="27.6">
      <c r="A6" s="210" t="s">
        <v>2498</v>
      </c>
      <c r="B6" s="211" t="s">
        <v>782</v>
      </c>
      <c r="C6" s="308" t="s">
        <v>2492</v>
      </c>
      <c r="D6" s="7" t="s">
        <v>2499</v>
      </c>
      <c r="E6" s="9">
        <v>46206</v>
      </c>
      <c r="F6" s="9">
        <v>46232</v>
      </c>
      <c r="G6" s="7" t="s">
        <v>89</v>
      </c>
      <c r="H6" s="7" t="s">
        <v>66</v>
      </c>
      <c r="I6" s="227" t="s">
        <v>105</v>
      </c>
      <c r="J6" s="12">
        <v>6300</v>
      </c>
      <c r="K6" s="12">
        <v>0</v>
      </c>
      <c r="L6" s="12">
        <v>1000</v>
      </c>
      <c r="M6" s="258">
        <v>180</v>
      </c>
      <c r="N6" s="247">
        <f t="shared" si="0"/>
        <v>7480</v>
      </c>
      <c r="O6" s="247">
        <v>0</v>
      </c>
      <c r="P6" s="6"/>
      <c r="Q6" s="150">
        <v>46272</v>
      </c>
      <c r="R6" s="151">
        <v>23240</v>
      </c>
    </row>
    <row r="7" spans="1:18" ht="27.6">
      <c r="A7" s="210" t="s">
        <v>2500</v>
      </c>
      <c r="B7" s="211" t="s">
        <v>782</v>
      </c>
      <c r="C7" s="308" t="s">
        <v>2492</v>
      </c>
      <c r="D7" s="7" t="s">
        <v>2501</v>
      </c>
      <c r="E7" s="9">
        <v>46206</v>
      </c>
      <c r="F7" s="9">
        <v>46232</v>
      </c>
      <c r="G7" s="7" t="s">
        <v>89</v>
      </c>
      <c r="H7" s="7" t="s">
        <v>66</v>
      </c>
      <c r="I7" s="227" t="s">
        <v>105</v>
      </c>
      <c r="J7" s="12">
        <v>6300</v>
      </c>
      <c r="K7" s="12">
        <v>0</v>
      </c>
      <c r="L7" s="12">
        <v>1000</v>
      </c>
      <c r="M7" s="258">
        <v>180</v>
      </c>
      <c r="N7" s="247">
        <f t="shared" si="0"/>
        <v>7480</v>
      </c>
      <c r="O7" s="247">
        <v>0</v>
      </c>
      <c r="P7" s="6"/>
      <c r="Q7" s="150">
        <v>46289</v>
      </c>
      <c r="R7" s="151">
        <v>33800</v>
      </c>
    </row>
    <row r="8" spans="1:18" ht="29.45" customHeight="1">
      <c r="A8" s="210" t="s">
        <v>2502</v>
      </c>
      <c r="B8" s="211" t="s">
        <v>782</v>
      </c>
      <c r="C8" s="308" t="s">
        <v>2492</v>
      </c>
      <c r="D8" s="7" t="s">
        <v>2503</v>
      </c>
      <c r="E8" s="9">
        <v>46208</v>
      </c>
      <c r="F8" s="9">
        <v>46241</v>
      </c>
      <c r="G8" s="7" t="s">
        <v>507</v>
      </c>
      <c r="H8" s="7" t="s">
        <v>648</v>
      </c>
      <c r="I8" s="227" t="s">
        <v>105</v>
      </c>
      <c r="J8" s="12">
        <v>6300</v>
      </c>
      <c r="K8" s="12">
        <v>0</v>
      </c>
      <c r="L8" s="12">
        <v>1275</v>
      </c>
      <c r="M8" s="258">
        <v>180</v>
      </c>
      <c r="N8" s="247">
        <f t="shared" si="0"/>
        <v>7755</v>
      </c>
      <c r="O8" s="247">
        <v>0</v>
      </c>
      <c r="P8" s="6"/>
      <c r="Q8" s="299"/>
      <c r="R8" s="300"/>
    </row>
    <row r="9" spans="1:18" ht="29.45" customHeight="1">
      <c r="A9" s="210" t="s">
        <v>2504</v>
      </c>
      <c r="B9" s="211" t="s">
        <v>782</v>
      </c>
      <c r="C9" s="308" t="s">
        <v>2492</v>
      </c>
      <c r="D9" s="7" t="s">
        <v>2505</v>
      </c>
      <c r="E9" s="9">
        <v>46210</v>
      </c>
      <c r="F9" s="9">
        <v>46240</v>
      </c>
      <c r="G9" s="7" t="s">
        <v>100</v>
      </c>
      <c r="H9" s="7" t="s">
        <v>66</v>
      </c>
      <c r="I9" s="227" t="s">
        <v>105</v>
      </c>
      <c r="J9" s="12">
        <v>6200</v>
      </c>
      <c r="K9" s="12">
        <v>0</v>
      </c>
      <c r="L9" s="12">
        <v>1000</v>
      </c>
      <c r="M9" s="258">
        <v>180</v>
      </c>
      <c r="N9" s="247">
        <f t="shared" si="0"/>
        <v>7380</v>
      </c>
      <c r="O9" s="247">
        <v>0</v>
      </c>
      <c r="P9" s="6"/>
      <c r="Q9" s="299"/>
      <c r="R9" s="300"/>
    </row>
    <row r="10" spans="1:18" ht="29.45" customHeight="1">
      <c r="A10" s="210" t="s">
        <v>2506</v>
      </c>
      <c r="B10" s="211" t="s">
        <v>782</v>
      </c>
      <c r="C10" s="308" t="s">
        <v>2492</v>
      </c>
      <c r="D10" s="7" t="s">
        <v>2507</v>
      </c>
      <c r="E10" s="9">
        <v>46210</v>
      </c>
      <c r="F10" s="9">
        <v>46240</v>
      </c>
      <c r="G10" s="7" t="s">
        <v>100</v>
      </c>
      <c r="H10" s="7" t="s">
        <v>66</v>
      </c>
      <c r="I10" s="227" t="s">
        <v>105</v>
      </c>
      <c r="J10" s="12">
        <v>6200</v>
      </c>
      <c r="K10" s="12">
        <v>0</v>
      </c>
      <c r="L10" s="12">
        <v>1000</v>
      </c>
      <c r="M10" s="258">
        <v>180</v>
      </c>
      <c r="N10" s="247">
        <f t="shared" si="0"/>
        <v>7380</v>
      </c>
      <c r="O10" s="247">
        <v>0</v>
      </c>
      <c r="P10" s="6"/>
      <c r="Q10" s="299"/>
      <c r="R10" s="300"/>
    </row>
    <row r="11" spans="1:18" ht="29.45" customHeight="1">
      <c r="A11" s="210" t="s">
        <v>2508</v>
      </c>
      <c r="B11" s="211" t="s">
        <v>782</v>
      </c>
      <c r="C11" s="308" t="s">
        <v>2492</v>
      </c>
      <c r="D11" s="7" t="s">
        <v>2509</v>
      </c>
      <c r="E11" s="9">
        <v>46210</v>
      </c>
      <c r="F11" s="9">
        <v>46240</v>
      </c>
      <c r="G11" s="7" t="s">
        <v>100</v>
      </c>
      <c r="H11" s="7" t="s">
        <v>66</v>
      </c>
      <c r="I11" s="227" t="s">
        <v>105</v>
      </c>
      <c r="J11" s="12">
        <v>6200</v>
      </c>
      <c r="K11" s="12">
        <v>0</v>
      </c>
      <c r="L11" s="12">
        <v>1050</v>
      </c>
      <c r="M11" s="258">
        <v>180</v>
      </c>
      <c r="N11" s="247">
        <f t="shared" si="0"/>
        <v>7430</v>
      </c>
      <c r="O11" s="247">
        <v>0</v>
      </c>
      <c r="P11" s="6"/>
      <c r="Q11" s="299"/>
      <c r="R11" s="300"/>
    </row>
    <row r="12" spans="1:18" ht="29.45" customHeight="1">
      <c r="A12" s="210" t="s">
        <v>1050</v>
      </c>
      <c r="B12" s="211" t="s">
        <v>782</v>
      </c>
      <c r="C12" s="308" t="s">
        <v>2492</v>
      </c>
      <c r="D12" s="7" t="s">
        <v>1051</v>
      </c>
      <c r="E12" s="9">
        <v>46203</v>
      </c>
      <c r="F12" s="9">
        <v>46238</v>
      </c>
      <c r="G12" s="7" t="s">
        <v>482</v>
      </c>
      <c r="H12" s="7" t="s">
        <v>66</v>
      </c>
      <c r="I12" s="227" t="s">
        <v>105</v>
      </c>
      <c r="J12" s="12">
        <v>0</v>
      </c>
      <c r="K12" s="12">
        <v>0</v>
      </c>
      <c r="L12" s="12">
        <v>915</v>
      </c>
      <c r="M12" s="258">
        <v>0</v>
      </c>
      <c r="N12" s="247">
        <f t="shared" si="0"/>
        <v>915</v>
      </c>
      <c r="O12" s="247">
        <v>0</v>
      </c>
      <c r="P12" s="6"/>
      <c r="Q12" s="299"/>
      <c r="R12" s="300"/>
    </row>
    <row r="13" spans="1:18" ht="29.45" customHeight="1">
      <c r="A13" s="210" t="s">
        <v>2510</v>
      </c>
      <c r="B13" s="211" t="s">
        <v>782</v>
      </c>
      <c r="C13" s="308" t="s">
        <v>2492</v>
      </c>
      <c r="D13" s="7" t="s">
        <v>2511</v>
      </c>
      <c r="E13" s="9">
        <v>46224</v>
      </c>
      <c r="F13" s="9">
        <v>46264</v>
      </c>
      <c r="G13" s="7" t="s">
        <v>100</v>
      </c>
      <c r="H13" s="7" t="s">
        <v>66</v>
      </c>
      <c r="I13" s="227" t="s">
        <v>105</v>
      </c>
      <c r="J13" s="12">
        <v>5520</v>
      </c>
      <c r="K13" s="12">
        <v>0</v>
      </c>
      <c r="L13" s="12">
        <v>1090</v>
      </c>
      <c r="M13" s="258">
        <v>180</v>
      </c>
      <c r="N13" s="247">
        <f t="shared" si="0"/>
        <v>6790</v>
      </c>
      <c r="O13" s="247">
        <v>0</v>
      </c>
    </row>
    <row r="14" spans="1:18" ht="27.6">
      <c r="A14" s="210" t="s">
        <v>2512</v>
      </c>
      <c r="B14" s="211" t="s">
        <v>782</v>
      </c>
      <c r="C14" s="308" t="s">
        <v>2492</v>
      </c>
      <c r="D14" s="7" t="s">
        <v>2513</v>
      </c>
      <c r="E14" s="9">
        <v>46244</v>
      </c>
      <c r="F14" s="9">
        <v>46272</v>
      </c>
      <c r="G14" s="7" t="s">
        <v>1175</v>
      </c>
      <c r="H14" s="7" t="s">
        <v>66</v>
      </c>
      <c r="I14" s="227" t="s">
        <v>105</v>
      </c>
      <c r="J14" s="12">
        <v>6250</v>
      </c>
      <c r="K14" s="12">
        <v>0</v>
      </c>
      <c r="L14" s="12">
        <v>0</v>
      </c>
      <c r="M14" s="258">
        <v>180</v>
      </c>
      <c r="N14" s="247">
        <f t="shared" si="0"/>
        <v>6430</v>
      </c>
      <c r="O14" s="247">
        <v>0</v>
      </c>
    </row>
    <row r="15" spans="1:18" ht="27.6">
      <c r="A15" s="210" t="s">
        <v>2514</v>
      </c>
      <c r="B15" s="211" t="s">
        <v>782</v>
      </c>
      <c r="C15" s="308" t="s">
        <v>2492</v>
      </c>
      <c r="D15" s="7" t="s">
        <v>2515</v>
      </c>
      <c r="E15" s="9">
        <v>46244</v>
      </c>
      <c r="F15" s="9">
        <v>46272</v>
      </c>
      <c r="G15" s="7" t="s">
        <v>1175</v>
      </c>
      <c r="H15" s="7" t="s">
        <v>66</v>
      </c>
      <c r="I15" s="227" t="s">
        <v>105</v>
      </c>
      <c r="J15" s="12">
        <v>6250</v>
      </c>
      <c r="K15" s="12">
        <v>0</v>
      </c>
      <c r="L15" s="12">
        <v>0</v>
      </c>
      <c r="M15" s="258">
        <v>180</v>
      </c>
      <c r="N15" s="247">
        <f>J15+K15+M15+L15</f>
        <v>6430</v>
      </c>
      <c r="O15" s="247">
        <v>0</v>
      </c>
    </row>
    <row r="16" spans="1:18" ht="24.75" customHeight="1">
      <c r="A16" s="210" t="s">
        <v>1012</v>
      </c>
      <c r="B16" s="211" t="s">
        <v>782</v>
      </c>
      <c r="C16" s="308" t="s">
        <v>6</v>
      </c>
      <c r="D16" s="7" t="s">
        <v>2516</v>
      </c>
      <c r="E16" s="9">
        <v>46194</v>
      </c>
      <c r="F16" s="9">
        <v>46224</v>
      </c>
      <c r="G16" s="7" t="s">
        <v>482</v>
      </c>
      <c r="H16" s="7" t="s">
        <v>66</v>
      </c>
      <c r="I16" s="227" t="s">
        <v>105</v>
      </c>
      <c r="J16" s="12">
        <v>0</v>
      </c>
      <c r="K16" s="12">
        <v>0</v>
      </c>
      <c r="L16" s="12">
        <v>1050</v>
      </c>
      <c r="M16" s="258">
        <v>0</v>
      </c>
      <c r="N16" s="247">
        <f>J16+K16+M16+L16</f>
        <v>1050</v>
      </c>
      <c r="O16" s="247">
        <v>0</v>
      </c>
    </row>
  </sheetData>
  <conditionalFormatting sqref="A1:A2">
    <cfRule type="duplicateValues" dxfId="907" priority="128"/>
    <cfRule type="duplicateValues" dxfId="906" priority="130"/>
    <cfRule type="duplicateValues" dxfId="905" priority="131"/>
    <cfRule type="duplicateValues" dxfId="904" priority="133"/>
    <cfRule type="duplicateValues" dxfId="903" priority="134"/>
    <cfRule type="duplicateValues" dxfId="902" priority="135"/>
    <cfRule type="duplicateValues" dxfId="901" priority="136"/>
    <cfRule type="duplicateValues" dxfId="900" priority="141"/>
  </conditionalFormatting>
  <conditionalFormatting sqref="A3:A16">
    <cfRule type="duplicateValues" dxfId="899" priority="3958"/>
    <cfRule type="duplicateValues" dxfId="898" priority="3959"/>
    <cfRule type="duplicateValues" dxfId="897" priority="3960"/>
    <cfRule type="duplicateValues" dxfId="896" priority="3961"/>
    <cfRule type="duplicateValues" dxfId="895" priority="3962"/>
    <cfRule type="duplicateValues" dxfId="894" priority="3963"/>
    <cfRule type="duplicateValues" dxfId="893" priority="3964"/>
    <cfRule type="duplicateValues" dxfId="892" priority="3965"/>
    <cfRule type="duplicateValues" dxfId="891" priority="3966"/>
    <cfRule type="duplicateValues" dxfId="890" priority="3967"/>
    <cfRule type="duplicateValues" dxfId="889" priority="3968"/>
    <cfRule type="duplicateValues" dxfId="888" priority="3969"/>
    <cfRule type="duplicateValues" dxfId="887" priority="3970"/>
    <cfRule type="duplicateValues" dxfId="886" priority="3971"/>
    <cfRule type="duplicateValues" dxfId="885" priority="3972"/>
    <cfRule type="duplicateValues" dxfId="884" priority="3973"/>
    <cfRule type="duplicateValues" dxfId="883" priority="3974"/>
    <cfRule type="duplicateValues" dxfId="882" priority="3975"/>
    <cfRule type="duplicateValues" dxfId="881" priority="3976"/>
  </conditionalFormatting>
  <conditionalFormatting sqref="A18:A1048576 A1:A2">
    <cfRule type="duplicateValues" dxfId="880" priority="123"/>
    <cfRule type="duplicateValues" dxfId="879" priority="124"/>
    <cfRule type="duplicateValues" dxfId="878" priority="125"/>
    <cfRule type="duplicateValues" dxfId="877" priority="144"/>
    <cfRule type="duplicateValues" dxfId="876" priority="145"/>
    <cfRule type="duplicateValues" dxfId="875" priority="146"/>
    <cfRule type="duplicateValues" dxfId="874" priority="147"/>
    <cfRule type="duplicateValues" dxfId="873" priority="148"/>
    <cfRule type="duplicateValues" dxfId="872" priority="149"/>
    <cfRule type="duplicateValues" dxfId="871" priority="150"/>
    <cfRule type="duplicateValues" dxfId="870" priority="151"/>
    <cfRule type="duplicateValues" dxfId="869" priority="152"/>
  </conditionalFormatting>
  <conditionalFormatting sqref="A18:A1048576 A1:A16">
    <cfRule type="duplicateValues" dxfId="868" priority="122"/>
  </conditionalFormatting>
  <conditionalFormatting sqref="A18:A1048576 D1:D2 A1:A2 D18:D1048576">
    <cfRule type="duplicateValues" dxfId="867" priority="143"/>
  </conditionalFormatting>
  <conditionalFormatting sqref="A18:A1048576">
    <cfRule type="duplicateValues" dxfId="866" priority="153"/>
    <cfRule type="duplicateValues" dxfId="865" priority="154"/>
    <cfRule type="duplicateValues" dxfId="864" priority="155"/>
  </conditionalFormatting>
  <conditionalFormatting sqref="D1:D2">
    <cfRule type="duplicateValues" dxfId="863" priority="129"/>
    <cfRule type="duplicateValues" dxfId="862" priority="132"/>
    <cfRule type="duplicateValues" dxfId="861" priority="137"/>
    <cfRule type="duplicateValues" dxfId="860" priority="138"/>
    <cfRule type="duplicateValues" dxfId="859" priority="139"/>
    <cfRule type="duplicateValues" dxfId="858" priority="140"/>
    <cfRule type="duplicateValues" dxfId="857" priority="142"/>
  </conditionalFormatting>
  <conditionalFormatting sqref="D3:D16 A3:A16">
    <cfRule type="duplicateValues" dxfId="856" priority="4011"/>
  </conditionalFormatting>
  <conditionalFormatting sqref="D3:D16">
    <cfRule type="duplicateValues" dxfId="855" priority="4015"/>
    <cfRule type="duplicateValues" dxfId="854" priority="4016"/>
    <cfRule type="duplicateValues" dxfId="853" priority="4017"/>
    <cfRule type="duplicateValues" dxfId="852" priority="4018"/>
    <cfRule type="duplicateValues" dxfId="851" priority="4019"/>
    <cfRule type="duplicateValues" dxfId="850" priority="4020"/>
    <cfRule type="duplicateValues" dxfId="849" priority="4021"/>
    <cfRule type="duplicateValues" dxfId="848" priority="4022"/>
    <cfRule type="duplicateValues" dxfId="847" priority="4023"/>
    <cfRule type="duplicateValues" dxfId="846" priority="4024"/>
    <cfRule type="duplicateValues" dxfId="845" priority="4025"/>
    <cfRule type="duplicateValues" dxfId="844" priority="4026"/>
    <cfRule type="duplicateValues" dxfId="843" priority="4027"/>
  </conditionalFormatting>
  <conditionalFormatting sqref="D18:D1048576 D1:D2">
    <cfRule type="duplicateValues" dxfId="842" priority="126"/>
    <cfRule type="duplicateValues" dxfId="841" priority="127"/>
    <cfRule type="duplicateValues" dxfId="840" priority="156"/>
    <cfRule type="duplicateValues" dxfId="839" priority="157"/>
    <cfRule type="duplicateValues" dxfId="838" priority="158"/>
    <cfRule type="duplicateValues" dxfId="837" priority="159"/>
    <cfRule type="duplicateValues" dxfId="836" priority="160"/>
    <cfRule type="duplicateValues" dxfId="835" priority="161"/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D1963-7440-45C0-9C82-C58FF2C82D11}">
  <sheetPr codeName="Hoja42"/>
  <dimension ref="A1:Q25"/>
  <sheetViews>
    <sheetView topLeftCell="I1" workbookViewId="0">
      <selection activeCell="H13" sqref="H13"/>
    </sheetView>
  </sheetViews>
  <sheetFormatPr defaultColWidth="11.42578125" defaultRowHeight="14.45"/>
  <cols>
    <col min="1" max="1" width="18.140625" style="90" customWidth="1"/>
    <col min="2" max="2" width="19.7109375" style="91" bestFit="1" customWidth="1"/>
    <col min="3" max="3" width="24.42578125" style="57" bestFit="1" customWidth="1"/>
    <col min="4" max="4" width="13.7109375" style="92" bestFit="1" customWidth="1"/>
    <col min="5" max="5" width="7.140625" style="92" customWidth="1"/>
    <col min="6" max="6" width="7.42578125" style="57" customWidth="1"/>
    <col min="7" max="7" width="12.7109375" style="57" bestFit="1" customWidth="1"/>
    <col min="8" max="8" width="12.7109375" style="58" bestFit="1" customWidth="1"/>
    <col min="9" max="9" width="18.7109375" style="131" customWidth="1"/>
    <col min="10" max="10" width="15.7109375" style="52" bestFit="1" customWidth="1"/>
    <col min="11" max="11" width="15.7109375" style="52" customWidth="1"/>
    <col min="12" max="12" width="10.7109375" style="157" customWidth="1"/>
    <col min="13" max="14" width="8.7109375" customWidth="1"/>
    <col min="15" max="15" width="16.7109375" style="57" bestFit="1" customWidth="1"/>
    <col min="16" max="16" width="11.42578125" style="59"/>
  </cols>
  <sheetData>
    <row r="1" spans="1:17" ht="21">
      <c r="C1" s="91"/>
      <c r="D1" s="57"/>
      <c r="F1" s="92"/>
      <c r="H1" s="57"/>
      <c r="I1" s="98"/>
      <c r="J1" s="130"/>
      <c r="K1" s="130"/>
      <c r="L1" s="156"/>
      <c r="M1" s="100"/>
      <c r="N1" s="138"/>
      <c r="O1" s="115">
        <f>SUM(M3:M53)-SUM(Q4:Q53)</f>
        <v>-40</v>
      </c>
      <c r="P1" s="57"/>
      <c r="Q1" s="59"/>
    </row>
    <row r="2" spans="1:17" ht="27.6">
      <c r="A2" s="39" t="s">
        <v>45</v>
      </c>
      <c r="B2" s="39" t="s">
        <v>491</v>
      </c>
      <c r="C2" s="39" t="s">
        <v>47</v>
      </c>
      <c r="D2" s="39" t="s">
        <v>49</v>
      </c>
      <c r="E2" s="60" t="s">
        <v>50</v>
      </c>
      <c r="F2" s="60" t="s">
        <v>51</v>
      </c>
      <c r="G2" s="39" t="s">
        <v>52</v>
      </c>
      <c r="H2" s="40" t="s">
        <v>53</v>
      </c>
      <c r="I2" s="40" t="s">
        <v>54</v>
      </c>
      <c r="J2" s="101" t="s">
        <v>58</v>
      </c>
      <c r="K2" s="54" t="s">
        <v>556</v>
      </c>
      <c r="L2" s="272" t="s">
        <v>766</v>
      </c>
      <c r="M2" s="137" t="s">
        <v>55</v>
      </c>
      <c r="N2" s="204"/>
      <c r="O2"/>
      <c r="P2" s="57"/>
      <c r="Q2" s="59"/>
    </row>
    <row r="3" spans="1:17" ht="27.6">
      <c r="A3" s="210" t="s">
        <v>2517</v>
      </c>
      <c r="B3" s="211" t="s">
        <v>43</v>
      </c>
      <c r="C3" s="308" t="s">
        <v>2518</v>
      </c>
      <c r="D3" s="7" t="s">
        <v>2519</v>
      </c>
      <c r="E3" s="9">
        <v>46181</v>
      </c>
      <c r="F3" s="9">
        <v>46208</v>
      </c>
      <c r="G3" s="7" t="s">
        <v>89</v>
      </c>
      <c r="H3" s="7" t="s">
        <v>66</v>
      </c>
      <c r="I3" s="227" t="s">
        <v>105</v>
      </c>
      <c r="J3" s="12">
        <v>6200</v>
      </c>
      <c r="K3" s="12">
        <v>0</v>
      </c>
      <c r="L3" s="258">
        <v>180</v>
      </c>
      <c r="M3" s="247">
        <f>J3+K3+L3</f>
        <v>6380</v>
      </c>
      <c r="N3" s="247">
        <v>0</v>
      </c>
      <c r="O3" s="1"/>
      <c r="P3" s="132" t="s">
        <v>56</v>
      </c>
      <c r="Q3" s="133" t="s">
        <v>57</v>
      </c>
    </row>
    <row r="4" spans="1:17" ht="27.6">
      <c r="A4" s="210" t="s">
        <v>2520</v>
      </c>
      <c r="B4" s="211" t="s">
        <v>43</v>
      </c>
      <c r="C4" s="308" t="s">
        <v>40</v>
      </c>
      <c r="D4" s="7" t="s">
        <v>2521</v>
      </c>
      <c r="E4" s="9">
        <v>46205</v>
      </c>
      <c r="F4" s="9">
        <v>46232</v>
      </c>
      <c r="G4" s="7" t="s">
        <v>84</v>
      </c>
      <c r="H4" s="7" t="s">
        <v>1149</v>
      </c>
      <c r="I4" s="227" t="s">
        <v>105</v>
      </c>
      <c r="J4" s="12">
        <v>6900</v>
      </c>
      <c r="K4" s="12">
        <v>0</v>
      </c>
      <c r="L4" s="258">
        <v>0</v>
      </c>
      <c r="M4" s="247">
        <f>J4+K4+L4</f>
        <v>6900</v>
      </c>
      <c r="N4" s="247">
        <v>0</v>
      </c>
      <c r="O4" s="1"/>
      <c r="P4" s="150">
        <v>46237</v>
      </c>
      <c r="Q4" s="151">
        <v>13280</v>
      </c>
    </row>
    <row r="5" spans="1:17" ht="27.6">
      <c r="A5" s="114" t="s">
        <v>2522</v>
      </c>
      <c r="B5" s="106" t="s">
        <v>43</v>
      </c>
      <c r="C5" s="308" t="s">
        <v>2523</v>
      </c>
      <c r="D5" s="7" t="s">
        <v>2524</v>
      </c>
      <c r="E5" s="9">
        <v>46233</v>
      </c>
      <c r="F5" s="9">
        <v>46259</v>
      </c>
      <c r="G5" s="7" t="s">
        <v>89</v>
      </c>
      <c r="H5" s="7" t="s">
        <v>66</v>
      </c>
      <c r="I5" s="227" t="s">
        <v>105</v>
      </c>
      <c r="J5" s="12">
        <v>5200</v>
      </c>
      <c r="K5" s="12">
        <v>0</v>
      </c>
      <c r="L5" s="258">
        <v>180</v>
      </c>
      <c r="M5" s="247">
        <f>J5+K5+L5</f>
        <v>5380</v>
      </c>
      <c r="N5" s="247">
        <v>0</v>
      </c>
      <c r="O5" s="6"/>
      <c r="P5" s="150">
        <v>46243</v>
      </c>
      <c r="Q5" s="151">
        <v>17000</v>
      </c>
    </row>
    <row r="6" spans="1:17" ht="27.6">
      <c r="A6" s="114" t="s">
        <v>2525</v>
      </c>
      <c r="B6" s="106" t="s">
        <v>43</v>
      </c>
      <c r="C6" s="308" t="s">
        <v>2518</v>
      </c>
      <c r="D6" s="7" t="s">
        <v>2526</v>
      </c>
      <c r="E6" s="9">
        <v>46240</v>
      </c>
      <c r="F6" s="9">
        <v>46272</v>
      </c>
      <c r="G6" s="7" t="s">
        <v>89</v>
      </c>
      <c r="H6" s="7" t="s">
        <v>66</v>
      </c>
      <c r="I6" s="227" t="s">
        <v>105</v>
      </c>
      <c r="J6" s="12">
        <v>5700</v>
      </c>
      <c r="K6" s="12">
        <v>0</v>
      </c>
      <c r="L6" s="258">
        <v>180</v>
      </c>
      <c r="M6" s="247">
        <f>J6+K6+L6</f>
        <v>5880</v>
      </c>
      <c r="N6" s="247">
        <v>0</v>
      </c>
    </row>
    <row r="7" spans="1:17" ht="27.6">
      <c r="A7" s="114" t="s">
        <v>2527</v>
      </c>
      <c r="B7" s="106" t="s">
        <v>43</v>
      </c>
      <c r="C7" s="308" t="s">
        <v>2518</v>
      </c>
      <c r="D7" s="7" t="s">
        <v>2528</v>
      </c>
      <c r="E7" s="9">
        <v>46240</v>
      </c>
      <c r="F7" s="9">
        <v>46272</v>
      </c>
      <c r="G7" s="7" t="s">
        <v>89</v>
      </c>
      <c r="H7" s="7" t="s">
        <v>66</v>
      </c>
      <c r="I7" s="227" t="s">
        <v>105</v>
      </c>
      <c r="J7" s="12">
        <v>5700</v>
      </c>
      <c r="K7" s="12">
        <v>0</v>
      </c>
      <c r="L7" s="258">
        <v>0</v>
      </c>
      <c r="M7" s="247">
        <f>J7+K7+L7</f>
        <v>5700</v>
      </c>
      <c r="N7" s="247">
        <v>0</v>
      </c>
    </row>
    <row r="8" spans="1:17">
      <c r="O8"/>
      <c r="P8"/>
    </row>
    <row r="9" spans="1:17">
      <c r="O9"/>
      <c r="P9"/>
    </row>
    <row r="10" spans="1:17">
      <c r="P10"/>
    </row>
    <row r="11" spans="1:17">
      <c r="P11"/>
    </row>
    <row r="12" spans="1:17">
      <c r="P12"/>
    </row>
    <row r="13" spans="1:17">
      <c r="P13"/>
    </row>
    <row r="14" spans="1:17">
      <c r="P14"/>
    </row>
    <row r="15" spans="1:17">
      <c r="P15"/>
    </row>
    <row r="16" spans="1:17">
      <c r="P16"/>
    </row>
    <row r="17" spans="16:17">
      <c r="P17"/>
    </row>
    <row r="18" spans="16:17">
      <c r="P18"/>
    </row>
    <row r="19" spans="16:17">
      <c r="P19"/>
    </row>
    <row r="20" spans="16:17">
      <c r="P20"/>
    </row>
    <row r="21" spans="16:17">
      <c r="P21"/>
    </row>
    <row r="22" spans="16:17">
      <c r="P22"/>
    </row>
    <row r="23" spans="16:17">
      <c r="P23"/>
    </row>
    <row r="24" spans="16:17">
      <c r="P24"/>
      <c r="Q24" s="1"/>
    </row>
    <row r="25" spans="16:17">
      <c r="P25"/>
      <c r="Q25" s="1"/>
    </row>
  </sheetData>
  <conditionalFormatting sqref="A1:A2">
    <cfRule type="duplicateValues" dxfId="834" priority="41"/>
    <cfRule type="duplicateValues" dxfId="833" priority="43"/>
    <cfRule type="duplicateValues" dxfId="832" priority="44"/>
    <cfRule type="duplicateValues" dxfId="831" priority="46"/>
    <cfRule type="duplicateValues" dxfId="830" priority="47"/>
    <cfRule type="duplicateValues" dxfId="829" priority="48"/>
    <cfRule type="duplicateValues" dxfId="828" priority="49"/>
    <cfRule type="duplicateValues" dxfId="827" priority="54"/>
  </conditionalFormatting>
  <conditionalFormatting sqref="A1:A5 A8:A1048576">
    <cfRule type="duplicateValues" dxfId="826" priority="35"/>
  </conditionalFormatting>
  <conditionalFormatting sqref="A3:A5">
    <cfRule type="duplicateValues" dxfId="825" priority="3331"/>
    <cfRule type="duplicateValues" dxfId="824" priority="3332"/>
    <cfRule type="duplicateValues" dxfId="823" priority="3333"/>
    <cfRule type="duplicateValues" dxfId="822" priority="3334"/>
    <cfRule type="duplicateValues" dxfId="821" priority="3335"/>
    <cfRule type="duplicateValues" dxfId="820" priority="3336"/>
    <cfRule type="duplicateValues" dxfId="819" priority="3337"/>
    <cfRule type="duplicateValues" dxfId="818" priority="3338"/>
    <cfRule type="duplicateValues" dxfId="817" priority="3339"/>
    <cfRule type="duplicateValues" dxfId="816" priority="3340"/>
    <cfRule type="duplicateValues" dxfId="815" priority="3341"/>
    <cfRule type="duplicateValues" dxfId="814" priority="3342"/>
    <cfRule type="duplicateValues" dxfId="813" priority="3343"/>
    <cfRule type="duplicateValues" dxfId="812" priority="3344"/>
    <cfRule type="duplicateValues" dxfId="811" priority="3345"/>
    <cfRule type="duplicateValues" dxfId="810" priority="3346"/>
    <cfRule type="duplicateValues" dxfId="809" priority="3347"/>
    <cfRule type="duplicateValues" dxfId="808" priority="3348"/>
    <cfRule type="duplicateValues" dxfId="807" priority="3349"/>
  </conditionalFormatting>
  <conditionalFormatting sqref="A6:A7">
    <cfRule type="duplicateValues" dxfId="806" priority="1"/>
    <cfRule type="duplicateValues" dxfId="805" priority="2"/>
    <cfRule type="duplicateValues" dxfId="804" priority="3"/>
    <cfRule type="duplicateValues" dxfId="803" priority="4"/>
    <cfRule type="duplicateValues" dxfId="802" priority="5"/>
    <cfRule type="duplicateValues" dxfId="801" priority="6"/>
    <cfRule type="duplicateValues" dxfId="800" priority="7"/>
    <cfRule type="duplicateValues" dxfId="799" priority="8"/>
    <cfRule type="duplicateValues" dxfId="798" priority="9"/>
    <cfRule type="duplicateValues" dxfId="797" priority="10"/>
    <cfRule type="duplicateValues" dxfId="796" priority="11"/>
    <cfRule type="duplicateValues" dxfId="795" priority="12"/>
    <cfRule type="duplicateValues" dxfId="794" priority="13"/>
    <cfRule type="duplicateValues" dxfId="793" priority="14"/>
    <cfRule type="duplicateValues" dxfId="792" priority="15"/>
    <cfRule type="duplicateValues" dxfId="791" priority="16"/>
    <cfRule type="duplicateValues" dxfId="790" priority="17"/>
    <cfRule type="duplicateValues" dxfId="789" priority="18"/>
    <cfRule type="duplicateValues" dxfId="788" priority="19"/>
    <cfRule type="duplicateValues" dxfId="787" priority="20"/>
  </conditionalFormatting>
  <conditionalFormatting sqref="A8:A1048576 A1:A2">
    <cfRule type="duplicateValues" dxfId="786" priority="36"/>
    <cfRule type="duplicateValues" dxfId="785" priority="37"/>
    <cfRule type="duplicateValues" dxfId="784" priority="38"/>
    <cfRule type="duplicateValues" dxfId="783" priority="57"/>
    <cfRule type="duplicateValues" dxfId="782" priority="58"/>
    <cfRule type="duplicateValues" dxfId="781" priority="59"/>
    <cfRule type="duplicateValues" dxfId="780" priority="60"/>
    <cfRule type="duplicateValues" dxfId="779" priority="61"/>
    <cfRule type="duplicateValues" dxfId="778" priority="62"/>
    <cfRule type="duplicateValues" dxfId="777" priority="63"/>
    <cfRule type="duplicateValues" dxfId="776" priority="64"/>
    <cfRule type="duplicateValues" dxfId="775" priority="65"/>
  </conditionalFormatting>
  <conditionalFormatting sqref="A8:A1048576 D1:D2 A1:A2 D8:D1048576">
    <cfRule type="duplicateValues" dxfId="774" priority="56"/>
  </conditionalFormatting>
  <conditionalFormatting sqref="A8:A1048576">
    <cfRule type="duplicateValues" dxfId="773" priority="66"/>
    <cfRule type="duplicateValues" dxfId="772" priority="67"/>
    <cfRule type="duplicateValues" dxfId="771" priority="68"/>
  </conditionalFormatting>
  <conditionalFormatting sqref="D1:D2">
    <cfRule type="duplicateValues" dxfId="770" priority="42"/>
    <cfRule type="duplicateValues" dxfId="769" priority="45"/>
    <cfRule type="duplicateValues" dxfId="768" priority="50"/>
    <cfRule type="duplicateValues" dxfId="767" priority="51"/>
    <cfRule type="duplicateValues" dxfId="766" priority="52"/>
    <cfRule type="duplicateValues" dxfId="765" priority="53"/>
    <cfRule type="duplicateValues" dxfId="764" priority="55"/>
  </conditionalFormatting>
  <conditionalFormatting sqref="D3:D5 A3:A5">
    <cfRule type="duplicateValues" dxfId="763" priority="3365"/>
  </conditionalFormatting>
  <conditionalFormatting sqref="D3:D5">
    <cfRule type="duplicateValues" dxfId="762" priority="3367"/>
    <cfRule type="duplicateValues" dxfId="761" priority="3368"/>
    <cfRule type="duplicateValues" dxfId="760" priority="3369"/>
    <cfRule type="duplicateValues" dxfId="759" priority="3370"/>
    <cfRule type="duplicateValues" dxfId="758" priority="3371"/>
    <cfRule type="duplicateValues" dxfId="757" priority="3372"/>
    <cfRule type="duplicateValues" dxfId="756" priority="3373"/>
    <cfRule type="duplicateValues" dxfId="755" priority="3374"/>
    <cfRule type="duplicateValues" dxfId="754" priority="3375"/>
    <cfRule type="duplicateValues" dxfId="753" priority="3376"/>
    <cfRule type="duplicateValues" dxfId="752" priority="3377"/>
    <cfRule type="duplicateValues" dxfId="751" priority="3378"/>
    <cfRule type="duplicateValues" dxfId="750" priority="3379"/>
  </conditionalFormatting>
  <conditionalFormatting sqref="D6:D7 A6:A7">
    <cfRule type="duplicateValues" dxfId="749" priority="21"/>
  </conditionalFormatting>
  <conditionalFormatting sqref="D6:D7">
    <cfRule type="duplicateValues" dxfId="748" priority="22"/>
    <cfRule type="duplicateValues" dxfId="747" priority="23"/>
    <cfRule type="duplicateValues" dxfId="746" priority="24"/>
    <cfRule type="duplicateValues" dxfId="745" priority="25"/>
    <cfRule type="duplicateValues" dxfId="744" priority="26"/>
    <cfRule type="duplicateValues" dxfId="743" priority="27"/>
    <cfRule type="duplicateValues" dxfId="742" priority="28"/>
    <cfRule type="duplicateValues" dxfId="741" priority="29"/>
    <cfRule type="duplicateValues" dxfId="740" priority="30"/>
    <cfRule type="duplicateValues" dxfId="739" priority="31"/>
    <cfRule type="duplicateValues" dxfId="738" priority="32"/>
    <cfRule type="duplicateValues" dxfId="737" priority="33"/>
    <cfRule type="duplicateValues" dxfId="736" priority="34"/>
  </conditionalFormatting>
  <conditionalFormatting sqref="D8:D1048576 D1:D2">
    <cfRule type="duplicateValues" dxfId="735" priority="39"/>
    <cfRule type="duplicateValues" dxfId="734" priority="40"/>
    <cfRule type="duplicateValues" dxfId="733" priority="69"/>
    <cfRule type="duplicateValues" dxfId="732" priority="70"/>
    <cfRule type="duplicateValues" dxfId="731" priority="71"/>
    <cfRule type="duplicateValues" dxfId="730" priority="72"/>
    <cfRule type="duplicateValues" dxfId="729" priority="73"/>
    <cfRule type="duplicateValues" dxfId="728" priority="74"/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0119D-3873-4588-9308-770DEDA6045E}">
  <sheetPr codeName="Hoja44"/>
  <dimension ref="A1:Q25"/>
  <sheetViews>
    <sheetView workbookViewId="0">
      <selection activeCell="O20" sqref="O20"/>
    </sheetView>
  </sheetViews>
  <sheetFormatPr defaultColWidth="11.42578125" defaultRowHeight="14.45"/>
  <cols>
    <col min="1" max="1" width="18.140625" style="90" customWidth="1"/>
    <col min="2" max="2" width="19.7109375" style="91" bestFit="1" customWidth="1"/>
    <col min="3" max="3" width="24.42578125" style="57" bestFit="1" customWidth="1"/>
    <col min="4" max="4" width="13.7109375" style="92" bestFit="1" customWidth="1"/>
    <col min="5" max="5" width="7.140625" style="92" customWidth="1"/>
    <col min="6" max="6" width="7.42578125" style="57" customWidth="1"/>
    <col min="7" max="7" width="12.7109375" style="57" bestFit="1" customWidth="1"/>
    <col min="8" max="8" width="12.7109375" style="58" bestFit="1" customWidth="1"/>
    <col min="9" max="9" width="18.7109375" style="131" customWidth="1"/>
    <col min="10" max="10" width="15.7109375" style="52" bestFit="1" customWidth="1"/>
    <col min="11" max="11" width="15.7109375" style="52" customWidth="1"/>
    <col min="12" max="12" width="10.7109375" style="157" customWidth="1"/>
    <col min="13" max="14" width="8.7109375" customWidth="1"/>
    <col min="15" max="15" width="16.7109375" style="57" bestFit="1" customWidth="1"/>
    <col min="16" max="16" width="11.42578125" style="59"/>
  </cols>
  <sheetData>
    <row r="1" spans="1:17" ht="21">
      <c r="C1" s="91"/>
      <c r="D1" s="57"/>
      <c r="F1" s="92"/>
      <c r="H1" s="57"/>
      <c r="I1" s="98"/>
      <c r="J1" s="130"/>
      <c r="K1" s="130"/>
      <c r="L1" s="156"/>
      <c r="M1" s="100"/>
      <c r="N1" s="138"/>
      <c r="O1" s="115">
        <f>SUM(N3:N93)</f>
        <v>6850</v>
      </c>
      <c r="P1" s="57"/>
      <c r="Q1" s="59"/>
    </row>
    <row r="2" spans="1:17" ht="27.6">
      <c r="A2" s="39" t="s">
        <v>45</v>
      </c>
      <c r="B2" s="39" t="s">
        <v>491</v>
      </c>
      <c r="C2" s="39" t="s">
        <v>47</v>
      </c>
      <c r="D2" s="39" t="s">
        <v>49</v>
      </c>
      <c r="E2" s="60" t="s">
        <v>50</v>
      </c>
      <c r="F2" s="60" t="s">
        <v>51</v>
      </c>
      <c r="G2" s="39" t="s">
        <v>52</v>
      </c>
      <c r="H2" s="40" t="s">
        <v>53</v>
      </c>
      <c r="I2" s="40" t="s">
        <v>54</v>
      </c>
      <c r="J2" s="101" t="s">
        <v>58</v>
      </c>
      <c r="K2" s="54" t="s">
        <v>556</v>
      </c>
      <c r="L2" s="272" t="s">
        <v>766</v>
      </c>
      <c r="M2" s="137" t="s">
        <v>55</v>
      </c>
      <c r="N2" s="204"/>
      <c r="O2"/>
      <c r="P2" s="57"/>
      <c r="Q2" s="59"/>
    </row>
    <row r="3" spans="1:17" ht="27.6">
      <c r="A3" s="114" t="s">
        <v>2529</v>
      </c>
      <c r="B3" s="106" t="s">
        <v>2530</v>
      </c>
      <c r="C3" s="260" t="s">
        <v>2531</v>
      </c>
      <c r="D3" s="32" t="s">
        <v>2532</v>
      </c>
      <c r="E3" s="34">
        <v>46201</v>
      </c>
      <c r="F3" s="34">
        <v>46226</v>
      </c>
      <c r="G3" s="32" t="s">
        <v>507</v>
      </c>
      <c r="H3" s="32" t="s">
        <v>648</v>
      </c>
      <c r="I3" s="112" t="s">
        <v>588</v>
      </c>
      <c r="J3" s="81">
        <v>6750</v>
      </c>
      <c r="K3" s="81">
        <v>0</v>
      </c>
      <c r="L3" s="143">
        <v>100</v>
      </c>
      <c r="M3" s="198">
        <f t="shared" ref="M3" si="0">J3+K3+L3</f>
        <v>6850</v>
      </c>
      <c r="N3" s="198">
        <f t="shared" ref="N3" si="1">M3</f>
        <v>6850</v>
      </c>
      <c r="O3" s="1"/>
      <c r="P3" s="132" t="s">
        <v>56</v>
      </c>
      <c r="Q3" s="133" t="s">
        <v>57</v>
      </c>
    </row>
    <row r="4" spans="1:17">
      <c r="O4" s="6"/>
      <c r="P4" s="150"/>
      <c r="Q4" s="151"/>
    </row>
    <row r="5" spans="1:17">
      <c r="O5" s="6"/>
      <c r="P5" s="150"/>
      <c r="Q5" s="151"/>
    </row>
    <row r="6" spans="1:17">
      <c r="O6" s="6"/>
      <c r="P6"/>
    </row>
    <row r="7" spans="1:17">
      <c r="O7"/>
      <c r="P7"/>
    </row>
    <row r="8" spans="1:17">
      <c r="O8"/>
      <c r="P8"/>
    </row>
    <row r="9" spans="1:17">
      <c r="O9"/>
      <c r="P9"/>
    </row>
    <row r="10" spans="1:17">
      <c r="P10"/>
    </row>
    <row r="11" spans="1:17">
      <c r="P11"/>
    </row>
    <row r="12" spans="1:17">
      <c r="P12"/>
    </row>
    <row r="13" spans="1:17">
      <c r="P13"/>
    </row>
    <row r="14" spans="1:17">
      <c r="P14"/>
    </row>
    <row r="15" spans="1:17">
      <c r="P15"/>
    </row>
    <row r="16" spans="1:17">
      <c r="P16"/>
    </row>
    <row r="17" spans="16:17">
      <c r="P17"/>
    </row>
    <row r="18" spans="16:17">
      <c r="P18"/>
    </row>
    <row r="19" spans="16:17">
      <c r="P19"/>
    </row>
    <row r="20" spans="16:17">
      <c r="P20"/>
    </row>
    <row r="21" spans="16:17">
      <c r="P21"/>
    </row>
    <row r="22" spans="16:17">
      <c r="P22"/>
    </row>
    <row r="23" spans="16:17">
      <c r="P23"/>
    </row>
    <row r="24" spans="16:17">
      <c r="P24"/>
      <c r="Q24" s="1"/>
    </row>
    <row r="25" spans="16:17">
      <c r="P25"/>
      <c r="Q25" s="1"/>
    </row>
  </sheetData>
  <conditionalFormatting sqref="A1:A2">
    <cfRule type="duplicateValues" dxfId="727" priority="7"/>
    <cfRule type="duplicateValues" dxfId="726" priority="9"/>
    <cfRule type="duplicateValues" dxfId="725" priority="10"/>
    <cfRule type="duplicateValues" dxfId="724" priority="12"/>
    <cfRule type="duplicateValues" dxfId="723" priority="13"/>
    <cfRule type="duplicateValues" dxfId="722" priority="14"/>
    <cfRule type="duplicateValues" dxfId="721" priority="15"/>
    <cfRule type="duplicateValues" dxfId="720" priority="20"/>
  </conditionalFormatting>
  <conditionalFormatting sqref="A1:A1048576">
    <cfRule type="duplicateValues" dxfId="719" priority="1"/>
  </conditionalFormatting>
  <conditionalFormatting sqref="A3">
    <cfRule type="duplicateValues" dxfId="718" priority="3349"/>
    <cfRule type="duplicateValues" dxfId="717" priority="3350"/>
    <cfRule type="duplicateValues" dxfId="716" priority="3351"/>
    <cfRule type="duplicateValues" dxfId="715" priority="3352"/>
    <cfRule type="duplicateValues" dxfId="714" priority="3353"/>
    <cfRule type="duplicateValues" dxfId="713" priority="3354"/>
    <cfRule type="duplicateValues" dxfId="712" priority="3355"/>
    <cfRule type="duplicateValues" dxfId="711" priority="3356"/>
    <cfRule type="duplicateValues" dxfId="710" priority="3357"/>
    <cfRule type="duplicateValues" dxfId="709" priority="3358"/>
    <cfRule type="duplicateValues" dxfId="708" priority="3359"/>
    <cfRule type="duplicateValues" dxfId="707" priority="3360"/>
    <cfRule type="duplicateValues" dxfId="706" priority="3361"/>
    <cfRule type="duplicateValues" dxfId="705" priority="3362"/>
    <cfRule type="duplicateValues" dxfId="704" priority="3363"/>
    <cfRule type="duplicateValues" dxfId="703" priority="3364"/>
    <cfRule type="duplicateValues" dxfId="702" priority="3365"/>
    <cfRule type="duplicateValues" dxfId="701" priority="3366"/>
    <cfRule type="duplicateValues" dxfId="700" priority="3367"/>
  </conditionalFormatting>
  <conditionalFormatting sqref="A4:A1048576 A1:A2">
    <cfRule type="duplicateValues" dxfId="699" priority="2"/>
    <cfRule type="duplicateValues" dxfId="698" priority="3"/>
    <cfRule type="duplicateValues" dxfId="697" priority="4"/>
    <cfRule type="duplicateValues" dxfId="696" priority="23"/>
    <cfRule type="duplicateValues" dxfId="695" priority="24"/>
    <cfRule type="duplicateValues" dxfId="694" priority="25"/>
    <cfRule type="duplicateValues" dxfId="693" priority="26"/>
    <cfRule type="duplicateValues" dxfId="692" priority="27"/>
    <cfRule type="duplicateValues" dxfId="691" priority="28"/>
    <cfRule type="duplicateValues" dxfId="690" priority="29"/>
    <cfRule type="duplicateValues" dxfId="689" priority="30"/>
    <cfRule type="duplicateValues" dxfId="688" priority="31"/>
  </conditionalFormatting>
  <conditionalFormatting sqref="A4:A1048576 D1:D2 A1:A2 D4:D1048576">
    <cfRule type="duplicateValues" dxfId="687" priority="22"/>
  </conditionalFormatting>
  <conditionalFormatting sqref="A4:A1048576">
    <cfRule type="duplicateValues" dxfId="686" priority="32"/>
    <cfRule type="duplicateValues" dxfId="685" priority="33"/>
    <cfRule type="duplicateValues" dxfId="684" priority="34"/>
  </conditionalFormatting>
  <conditionalFormatting sqref="D1:D2">
    <cfRule type="duplicateValues" dxfId="683" priority="8"/>
    <cfRule type="duplicateValues" dxfId="682" priority="11"/>
    <cfRule type="duplicateValues" dxfId="681" priority="16"/>
    <cfRule type="duplicateValues" dxfId="680" priority="17"/>
    <cfRule type="duplicateValues" dxfId="679" priority="18"/>
    <cfRule type="duplicateValues" dxfId="678" priority="19"/>
    <cfRule type="duplicateValues" dxfId="677" priority="21"/>
  </conditionalFormatting>
  <conditionalFormatting sqref="D3 A3">
    <cfRule type="duplicateValues" dxfId="676" priority="3383"/>
  </conditionalFormatting>
  <conditionalFormatting sqref="D3">
    <cfRule type="duplicateValues" dxfId="675" priority="3385"/>
    <cfRule type="duplicateValues" dxfId="674" priority="3386"/>
    <cfRule type="duplicateValues" dxfId="673" priority="3387"/>
    <cfRule type="duplicateValues" dxfId="672" priority="3388"/>
    <cfRule type="duplicateValues" dxfId="671" priority="3389"/>
    <cfRule type="duplicateValues" dxfId="670" priority="3390"/>
    <cfRule type="duplicateValues" dxfId="669" priority="3391"/>
    <cfRule type="duplicateValues" dxfId="668" priority="3392"/>
    <cfRule type="duplicateValues" dxfId="667" priority="3393"/>
    <cfRule type="duplicateValues" dxfId="666" priority="3394"/>
    <cfRule type="duplicateValues" dxfId="665" priority="3395"/>
    <cfRule type="duplicateValues" dxfId="664" priority="3396"/>
    <cfRule type="duplicateValues" dxfId="663" priority="3397"/>
  </conditionalFormatting>
  <conditionalFormatting sqref="D4:D1048576 D1:D2">
    <cfRule type="duplicateValues" dxfId="662" priority="5"/>
    <cfRule type="duplicateValues" dxfId="661" priority="6"/>
    <cfRule type="duplicateValues" dxfId="660" priority="35"/>
    <cfRule type="duplicateValues" dxfId="659" priority="36"/>
    <cfRule type="duplicateValues" dxfId="658" priority="37"/>
    <cfRule type="duplicateValues" dxfId="657" priority="38"/>
    <cfRule type="duplicateValues" dxfId="656" priority="39"/>
    <cfRule type="duplicateValues" dxfId="655" priority="40"/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59111-4BDD-40D4-8563-6B5E2BF14E1D}">
  <sheetPr codeName="Hoja29">
    <tabColor rgb="FF002060"/>
  </sheetPr>
  <dimension ref="A1:O11"/>
  <sheetViews>
    <sheetView workbookViewId="0">
      <selection activeCell="N33" sqref="N33"/>
    </sheetView>
  </sheetViews>
  <sheetFormatPr defaultColWidth="11.42578125" defaultRowHeight="14.45"/>
  <cols>
    <col min="1" max="1" width="10.28515625" bestFit="1" customWidth="1"/>
    <col min="2" max="3" width="18.7109375" customWidth="1"/>
    <col min="4" max="4" width="12.140625" bestFit="1" customWidth="1"/>
    <col min="5" max="6" width="5.7109375" bestFit="1" customWidth="1"/>
    <col min="7" max="7" width="8.42578125" bestFit="1" customWidth="1"/>
    <col min="8" max="8" width="11.7109375" customWidth="1"/>
    <col min="9" max="9" width="19.140625" bestFit="1" customWidth="1"/>
    <col min="10" max="10" width="8.28515625" bestFit="1" customWidth="1"/>
    <col min="11" max="11" width="7.140625" bestFit="1" customWidth="1"/>
    <col min="13" max="14" width="11.42578125" customWidth="1"/>
  </cols>
  <sheetData>
    <row r="1" spans="1:15" ht="15.6">
      <c r="L1" s="95">
        <f>(SUM(L3:L114)-SUM(O4:O119))</f>
        <v>0</v>
      </c>
    </row>
    <row r="2" spans="1:15" ht="43.15">
      <c r="A2" s="3" t="s">
        <v>45</v>
      </c>
      <c r="B2" s="3" t="s">
        <v>47</v>
      </c>
      <c r="C2" s="3" t="s">
        <v>46</v>
      </c>
      <c r="D2" s="3" t="s">
        <v>49</v>
      </c>
      <c r="E2" s="3" t="s">
        <v>50</v>
      </c>
      <c r="F2" s="3" t="s">
        <v>51</v>
      </c>
      <c r="G2" s="3" t="s">
        <v>52</v>
      </c>
      <c r="H2" s="4" t="s">
        <v>53</v>
      </c>
      <c r="I2" s="3" t="s">
        <v>54</v>
      </c>
      <c r="J2" s="3" t="s">
        <v>58</v>
      </c>
      <c r="K2" s="78" t="s">
        <v>555</v>
      </c>
      <c r="L2" s="5" t="s">
        <v>55</v>
      </c>
    </row>
    <row r="3" spans="1:15" ht="27.6">
      <c r="A3" s="7" t="s">
        <v>2533</v>
      </c>
      <c r="B3" s="211" t="s">
        <v>2534</v>
      </c>
      <c r="C3" s="211" t="s">
        <v>2535</v>
      </c>
      <c r="D3" s="7" t="s">
        <v>2536</v>
      </c>
      <c r="E3" s="9">
        <v>46085</v>
      </c>
      <c r="F3" s="9">
        <v>46123</v>
      </c>
      <c r="G3" s="212" t="s">
        <v>84</v>
      </c>
      <c r="H3" s="278" t="s">
        <v>645</v>
      </c>
      <c r="I3" s="229" t="s">
        <v>2537</v>
      </c>
      <c r="J3" s="13">
        <v>4100</v>
      </c>
      <c r="K3" s="13">
        <v>100</v>
      </c>
      <c r="L3" s="13">
        <f>J3+K3</f>
        <v>4200</v>
      </c>
      <c r="N3" s="55" t="s">
        <v>56</v>
      </c>
      <c r="O3" s="56" t="s">
        <v>57</v>
      </c>
    </row>
    <row r="4" spans="1:15">
      <c r="A4" s="32"/>
      <c r="B4" s="106"/>
      <c r="C4" s="106"/>
      <c r="D4" s="32"/>
      <c r="E4" s="34"/>
      <c r="F4" s="34"/>
      <c r="G4" s="77"/>
      <c r="H4" s="149"/>
      <c r="I4" s="113"/>
      <c r="J4" s="113"/>
      <c r="K4" s="113"/>
      <c r="L4" s="113"/>
      <c r="N4" s="150">
        <v>46178</v>
      </c>
      <c r="O4" s="151">
        <v>4200</v>
      </c>
    </row>
    <row r="5" spans="1:15">
      <c r="N5" s="150"/>
      <c r="O5" s="151"/>
    </row>
    <row r="11" spans="1:15">
      <c r="L11" s="25"/>
    </row>
  </sheetData>
  <conditionalFormatting sqref="A1:A4">
    <cfRule type="duplicateValues" dxfId="654" priority="1"/>
  </conditionalFormatting>
  <conditionalFormatting sqref="D1:D2">
    <cfRule type="duplicateValues" dxfId="653" priority="2"/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08188-0DC3-46FB-9588-98E1289451B3}">
  <sheetPr codeName="Hoja43"/>
  <dimension ref="A1:Q25"/>
  <sheetViews>
    <sheetView workbookViewId="0">
      <selection activeCell="I29" sqref="I29"/>
    </sheetView>
  </sheetViews>
  <sheetFormatPr defaultColWidth="11.42578125" defaultRowHeight="14.45"/>
  <cols>
    <col min="1" max="1" width="23.7109375" style="90" customWidth="1"/>
    <col min="2" max="2" width="21.7109375" style="91" customWidth="1"/>
    <col min="3" max="3" width="24.42578125" style="57" bestFit="1" customWidth="1"/>
    <col min="4" max="4" width="13.7109375" style="92" bestFit="1" customWidth="1"/>
    <col min="5" max="5" width="7.140625" style="92" customWidth="1"/>
    <col min="6" max="6" width="7.42578125" style="57" customWidth="1"/>
    <col min="7" max="7" width="12.7109375" style="57" bestFit="1" customWidth="1"/>
    <col min="8" max="8" width="12.7109375" style="58" bestFit="1" customWidth="1"/>
    <col min="9" max="9" width="18.7109375" style="131" customWidth="1"/>
    <col min="10" max="10" width="15.7109375" style="52" bestFit="1" customWidth="1"/>
    <col min="11" max="11" width="15.7109375" style="52" customWidth="1"/>
    <col min="12" max="12" width="10.7109375" style="157" customWidth="1"/>
    <col min="13" max="14" width="8.7109375" customWidth="1"/>
    <col min="15" max="15" width="16.7109375" style="57" bestFit="1" customWidth="1"/>
    <col min="16" max="16" width="11.42578125" style="59"/>
  </cols>
  <sheetData>
    <row r="1" spans="1:17" ht="21">
      <c r="C1" s="91"/>
      <c r="D1" s="57"/>
      <c r="F1" s="92"/>
      <c r="H1" s="57"/>
      <c r="I1" s="98"/>
      <c r="J1" s="130"/>
      <c r="K1" s="130"/>
      <c r="L1" s="156"/>
      <c r="M1" s="100"/>
      <c r="N1" s="138"/>
      <c r="O1" s="115">
        <f>SUM(N3:N82)</f>
        <v>14600</v>
      </c>
      <c r="P1" s="57"/>
      <c r="Q1" s="59"/>
    </row>
    <row r="2" spans="1:17" ht="23.25" customHeight="1">
      <c r="A2" s="39" t="s">
        <v>45</v>
      </c>
      <c r="B2" s="39" t="s">
        <v>491</v>
      </c>
      <c r="C2" s="39" t="s">
        <v>47</v>
      </c>
      <c r="D2" s="39" t="s">
        <v>49</v>
      </c>
      <c r="E2" s="60" t="s">
        <v>50</v>
      </c>
      <c r="F2" s="60" t="s">
        <v>51</v>
      </c>
      <c r="G2" s="39" t="s">
        <v>52</v>
      </c>
      <c r="H2" s="40" t="s">
        <v>53</v>
      </c>
      <c r="I2" s="40" t="s">
        <v>54</v>
      </c>
      <c r="J2" s="101" t="s">
        <v>58</v>
      </c>
      <c r="K2" s="54" t="s">
        <v>556</v>
      </c>
      <c r="L2" s="272" t="s">
        <v>766</v>
      </c>
      <c r="M2" s="137" t="s">
        <v>55</v>
      </c>
      <c r="N2" s="204"/>
      <c r="O2"/>
      <c r="P2" s="57"/>
      <c r="Q2" s="59"/>
    </row>
    <row r="3" spans="1:17" ht="27.6">
      <c r="A3" s="114" t="s">
        <v>2538</v>
      </c>
      <c r="B3" s="106" t="s">
        <v>2539</v>
      </c>
      <c r="C3" s="260" t="s">
        <v>20</v>
      </c>
      <c r="D3" s="32" t="s">
        <v>2540</v>
      </c>
      <c r="E3" s="34">
        <v>46281</v>
      </c>
      <c r="F3" s="34">
        <v>46315</v>
      </c>
      <c r="G3" s="32" t="s">
        <v>89</v>
      </c>
      <c r="H3" s="32" t="s">
        <v>621</v>
      </c>
      <c r="I3" s="112" t="s">
        <v>105</v>
      </c>
      <c r="J3" s="81">
        <v>7300</v>
      </c>
      <c r="K3" s="81">
        <v>0</v>
      </c>
      <c r="L3" s="143">
        <v>0</v>
      </c>
      <c r="M3" s="198">
        <f t="shared" ref="M3:M4" si="0">J3+K3+L3</f>
        <v>7300</v>
      </c>
      <c r="N3" s="198">
        <f t="shared" ref="N3:N4" si="1">M3</f>
        <v>7300</v>
      </c>
      <c r="O3" s="1"/>
      <c r="P3" s="132" t="s">
        <v>56</v>
      </c>
      <c r="Q3" s="133" t="s">
        <v>57</v>
      </c>
    </row>
    <row r="4" spans="1:17" ht="27.6">
      <c r="A4" s="114" t="s">
        <v>2541</v>
      </c>
      <c r="B4" s="106" t="s">
        <v>2542</v>
      </c>
      <c r="C4" s="260" t="s">
        <v>20</v>
      </c>
      <c r="D4" s="32" t="s">
        <v>2543</v>
      </c>
      <c r="E4" s="34">
        <v>46281</v>
      </c>
      <c r="F4" s="34">
        <v>46315</v>
      </c>
      <c r="G4" s="32" t="s">
        <v>89</v>
      </c>
      <c r="H4" s="32" t="s">
        <v>621</v>
      </c>
      <c r="I4" s="112" t="s">
        <v>105</v>
      </c>
      <c r="J4" s="81">
        <v>7300</v>
      </c>
      <c r="K4" s="81">
        <v>0</v>
      </c>
      <c r="L4" s="143">
        <v>0</v>
      </c>
      <c r="M4" s="198">
        <f t="shared" si="0"/>
        <v>7300</v>
      </c>
      <c r="N4" s="198">
        <f t="shared" si="1"/>
        <v>7300</v>
      </c>
      <c r="O4" s="6"/>
      <c r="P4" s="150"/>
      <c r="Q4" s="151"/>
    </row>
    <row r="5" spans="1:17" ht="25.5" customHeight="1">
      <c r="O5" s="6"/>
      <c r="P5" s="299"/>
      <c r="Q5" s="300"/>
    </row>
    <row r="6" spans="1:17" ht="30" customHeight="1">
      <c r="O6" s="6"/>
      <c r="P6" s="299"/>
      <c r="Q6" s="300"/>
    </row>
    <row r="7" spans="1:17" ht="32.25" customHeight="1">
      <c r="O7" s="6"/>
      <c r="P7" s="299"/>
      <c r="Q7" s="300"/>
    </row>
    <row r="8" spans="1:17" ht="30.75" customHeight="1">
      <c r="O8" s="6"/>
      <c r="P8" s="299"/>
      <c r="Q8" s="300"/>
    </row>
    <row r="9" spans="1:17" ht="30.75" customHeight="1">
      <c r="O9" s="6"/>
      <c r="P9" s="299"/>
      <c r="Q9" s="300"/>
    </row>
    <row r="10" spans="1:17">
      <c r="O10" s="6"/>
      <c r="P10" s="299"/>
      <c r="Q10" s="300"/>
    </row>
    <row r="11" spans="1:17">
      <c r="O11" s="6"/>
      <c r="P11" s="299"/>
      <c r="Q11" s="300"/>
    </row>
    <row r="17" spans="16:17">
      <c r="P17"/>
    </row>
    <row r="18" spans="16:17">
      <c r="P18"/>
    </row>
    <row r="19" spans="16:17">
      <c r="P19"/>
    </row>
    <row r="20" spans="16:17">
      <c r="P20"/>
    </row>
    <row r="21" spans="16:17">
      <c r="P21"/>
    </row>
    <row r="22" spans="16:17">
      <c r="P22"/>
    </row>
    <row r="23" spans="16:17">
      <c r="P23"/>
    </row>
    <row r="24" spans="16:17">
      <c r="P24"/>
      <c r="Q24" s="1"/>
    </row>
    <row r="25" spans="16:17">
      <c r="P25"/>
      <c r="Q25" s="1"/>
    </row>
  </sheetData>
  <conditionalFormatting sqref="A1:A2">
    <cfRule type="duplicateValues" dxfId="652" priority="42"/>
    <cfRule type="duplicateValues" dxfId="651" priority="44"/>
    <cfRule type="duplicateValues" dxfId="650" priority="45"/>
    <cfRule type="duplicateValues" dxfId="649" priority="47"/>
    <cfRule type="duplicateValues" dxfId="648" priority="48"/>
    <cfRule type="duplicateValues" dxfId="647" priority="49"/>
    <cfRule type="duplicateValues" dxfId="646" priority="50"/>
    <cfRule type="duplicateValues" dxfId="645" priority="55"/>
  </conditionalFormatting>
  <conditionalFormatting sqref="A3:A4">
    <cfRule type="duplicateValues" dxfId="644" priority="4800"/>
    <cfRule type="duplicateValues" dxfId="643" priority="4801"/>
    <cfRule type="duplicateValues" dxfId="642" priority="4802"/>
    <cfRule type="duplicateValues" dxfId="641" priority="4803"/>
    <cfRule type="duplicateValues" dxfId="640" priority="4804"/>
    <cfRule type="duplicateValues" dxfId="639" priority="4805"/>
    <cfRule type="duplicateValues" dxfId="638" priority="4806"/>
    <cfRule type="duplicateValues" dxfId="637" priority="4807"/>
    <cfRule type="duplicateValues" dxfId="636" priority="4808"/>
    <cfRule type="duplicateValues" dxfId="635" priority="4809"/>
    <cfRule type="duplicateValues" dxfId="634" priority="4810"/>
    <cfRule type="duplicateValues" dxfId="633" priority="4811"/>
    <cfRule type="duplicateValues" dxfId="632" priority="4812"/>
    <cfRule type="duplicateValues" dxfId="631" priority="4813"/>
    <cfRule type="duplicateValues" dxfId="630" priority="4814"/>
    <cfRule type="duplicateValues" dxfId="629" priority="4815"/>
    <cfRule type="duplicateValues" dxfId="628" priority="4816"/>
    <cfRule type="duplicateValues" dxfId="627" priority="4817"/>
    <cfRule type="duplicateValues" dxfId="626" priority="4818"/>
    <cfRule type="duplicateValues" dxfId="625" priority="4819"/>
  </conditionalFormatting>
  <conditionalFormatting sqref="A5:A1048576 A1:A2">
    <cfRule type="duplicateValues" dxfId="624" priority="36"/>
    <cfRule type="duplicateValues" dxfId="623" priority="37"/>
    <cfRule type="duplicateValues" dxfId="622" priority="38"/>
    <cfRule type="duplicateValues" dxfId="621" priority="39"/>
    <cfRule type="duplicateValues" dxfId="620" priority="58"/>
    <cfRule type="duplicateValues" dxfId="619" priority="59"/>
    <cfRule type="duplicateValues" dxfId="618" priority="60"/>
    <cfRule type="duplicateValues" dxfId="617" priority="61"/>
    <cfRule type="duplicateValues" dxfId="616" priority="62"/>
    <cfRule type="duplicateValues" dxfId="615" priority="63"/>
    <cfRule type="duplicateValues" dxfId="614" priority="64"/>
    <cfRule type="duplicateValues" dxfId="613" priority="65"/>
    <cfRule type="duplicateValues" dxfId="612" priority="66"/>
  </conditionalFormatting>
  <conditionalFormatting sqref="A5:A1048576 D1:D2 A1:A2 D5:D1048576">
    <cfRule type="duplicateValues" dxfId="611" priority="57"/>
  </conditionalFormatting>
  <conditionalFormatting sqref="A5:A1048576">
    <cfRule type="duplicateValues" dxfId="610" priority="67"/>
    <cfRule type="duplicateValues" dxfId="609" priority="68"/>
    <cfRule type="duplicateValues" dxfId="608" priority="69"/>
  </conditionalFormatting>
  <conditionalFormatting sqref="D1:D2">
    <cfRule type="duplicateValues" dxfId="607" priority="43"/>
    <cfRule type="duplicateValues" dxfId="606" priority="46"/>
    <cfRule type="duplicateValues" dxfId="605" priority="51"/>
    <cfRule type="duplicateValues" dxfId="604" priority="52"/>
    <cfRule type="duplicateValues" dxfId="603" priority="53"/>
    <cfRule type="duplicateValues" dxfId="602" priority="54"/>
    <cfRule type="duplicateValues" dxfId="601" priority="56"/>
  </conditionalFormatting>
  <conditionalFormatting sqref="D3:D4 A3:A4">
    <cfRule type="duplicateValues" dxfId="600" priority="4836"/>
  </conditionalFormatting>
  <conditionalFormatting sqref="D3:D4">
    <cfRule type="duplicateValues" dxfId="599" priority="4838"/>
    <cfRule type="duplicateValues" dxfId="598" priority="4839"/>
    <cfRule type="duplicateValues" dxfId="597" priority="4840"/>
    <cfRule type="duplicateValues" dxfId="596" priority="4841"/>
    <cfRule type="duplicateValues" dxfId="595" priority="4842"/>
    <cfRule type="duplicateValues" dxfId="594" priority="4843"/>
    <cfRule type="duplicateValues" dxfId="593" priority="4844"/>
    <cfRule type="duplicateValues" dxfId="592" priority="4845"/>
    <cfRule type="duplicateValues" dxfId="591" priority="4846"/>
    <cfRule type="duplicateValues" dxfId="590" priority="4847"/>
    <cfRule type="duplicateValues" dxfId="589" priority="4848"/>
    <cfRule type="duplicateValues" dxfId="588" priority="4849"/>
    <cfRule type="duplicateValues" dxfId="587" priority="4850"/>
  </conditionalFormatting>
  <conditionalFormatting sqref="D5:D1048576 A1:A2 D1:D2 A5:A1048576">
    <cfRule type="duplicateValues" dxfId="586" priority="35"/>
  </conditionalFormatting>
  <conditionalFormatting sqref="D5:D1048576 D1:D2">
    <cfRule type="duplicateValues" dxfId="585" priority="40"/>
    <cfRule type="duplicateValues" dxfId="584" priority="41"/>
    <cfRule type="duplicateValues" dxfId="583" priority="70"/>
    <cfRule type="duplicateValues" dxfId="582" priority="71"/>
    <cfRule type="duplicateValues" dxfId="581" priority="72"/>
    <cfRule type="duplicateValues" dxfId="580" priority="73"/>
    <cfRule type="duplicateValues" dxfId="579" priority="74"/>
    <cfRule type="duplicateValues" dxfId="578" priority="75"/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75D7A-6E51-4FA3-8C2F-90487C3F7541}">
  <dimension ref="A1:Q23"/>
  <sheetViews>
    <sheetView workbookViewId="0">
      <selection activeCell="I28" sqref="I28"/>
    </sheetView>
  </sheetViews>
  <sheetFormatPr defaultColWidth="11.42578125" defaultRowHeight="14.45"/>
  <cols>
    <col min="1" max="1" width="23.7109375" style="90" customWidth="1"/>
    <col min="2" max="2" width="21.7109375" style="91" customWidth="1"/>
    <col min="3" max="3" width="24.42578125" style="57" bestFit="1" customWidth="1"/>
    <col min="4" max="4" width="13.7109375" style="92" bestFit="1" customWidth="1"/>
    <col min="5" max="5" width="7.140625" style="92" customWidth="1"/>
    <col min="6" max="6" width="7.42578125" style="57" customWidth="1"/>
    <col min="7" max="7" width="12.7109375" style="57" bestFit="1" customWidth="1"/>
    <col min="8" max="8" width="12.7109375" style="58" bestFit="1" customWidth="1"/>
    <col min="9" max="9" width="18.7109375" style="131" customWidth="1"/>
    <col min="10" max="10" width="15.7109375" style="52" bestFit="1" customWidth="1"/>
    <col min="11" max="11" width="15.7109375" style="52" customWidth="1"/>
    <col min="12" max="12" width="10.7109375" style="157" customWidth="1"/>
    <col min="13" max="14" width="8.7109375" customWidth="1"/>
    <col min="15" max="15" width="16.7109375" style="57" bestFit="1" customWidth="1"/>
    <col min="16" max="16" width="11.42578125" style="59"/>
  </cols>
  <sheetData>
    <row r="1" spans="1:17" ht="21">
      <c r="C1" s="91"/>
      <c r="D1" s="57"/>
      <c r="F1" s="92"/>
      <c r="H1" s="57"/>
      <c r="I1" s="98"/>
      <c r="J1" s="130"/>
      <c r="K1" s="130"/>
      <c r="L1" s="156"/>
      <c r="M1" s="100"/>
      <c r="N1" s="138"/>
      <c r="O1" s="115">
        <f>SUM(N3:N90)</f>
        <v>63860</v>
      </c>
      <c r="P1" s="57"/>
      <c r="Q1" s="59"/>
    </row>
    <row r="2" spans="1:17" ht="23.25" customHeight="1">
      <c r="A2" s="39" t="s">
        <v>45</v>
      </c>
      <c r="B2" s="39" t="s">
        <v>491</v>
      </c>
      <c r="C2" s="39" t="s">
        <v>47</v>
      </c>
      <c r="D2" s="39" t="s">
        <v>49</v>
      </c>
      <c r="E2" s="60" t="s">
        <v>50</v>
      </c>
      <c r="F2" s="60" t="s">
        <v>51</v>
      </c>
      <c r="G2" s="39" t="s">
        <v>52</v>
      </c>
      <c r="H2" s="40" t="s">
        <v>53</v>
      </c>
      <c r="I2" s="40" t="s">
        <v>54</v>
      </c>
      <c r="J2" s="101" t="s">
        <v>58</v>
      </c>
      <c r="K2" s="54" t="s">
        <v>556</v>
      </c>
      <c r="L2" s="272" t="s">
        <v>766</v>
      </c>
      <c r="M2" s="137" t="s">
        <v>55</v>
      </c>
      <c r="N2" s="204"/>
      <c r="O2"/>
      <c r="P2" s="57"/>
      <c r="Q2" s="59"/>
    </row>
    <row r="3" spans="1:17" ht="27.6">
      <c r="A3" s="114" t="s">
        <v>2544</v>
      </c>
      <c r="B3" s="106" t="s">
        <v>2545</v>
      </c>
      <c r="C3" s="260" t="s">
        <v>20</v>
      </c>
      <c r="D3" s="32" t="s">
        <v>2546</v>
      </c>
      <c r="E3" s="34">
        <v>46204</v>
      </c>
      <c r="F3" s="34">
        <v>46234</v>
      </c>
      <c r="G3" s="32" t="s">
        <v>89</v>
      </c>
      <c r="H3" s="32" t="s">
        <v>621</v>
      </c>
      <c r="I3" s="112" t="s">
        <v>105</v>
      </c>
      <c r="J3" s="81">
        <v>6950</v>
      </c>
      <c r="K3" s="81">
        <v>0</v>
      </c>
      <c r="L3" s="143">
        <v>180</v>
      </c>
      <c r="M3" s="198">
        <f t="shared" ref="M3:M9" si="0">J3+K3+L3</f>
        <v>7130</v>
      </c>
      <c r="N3" s="198">
        <f t="shared" ref="N3:N9" si="1">M3</f>
        <v>7130</v>
      </c>
      <c r="O3" s="1"/>
      <c r="P3" s="132" t="s">
        <v>56</v>
      </c>
      <c r="Q3" s="133" t="s">
        <v>57</v>
      </c>
    </row>
    <row r="4" spans="1:17" ht="27.6">
      <c r="A4" s="114" t="s">
        <v>2547</v>
      </c>
      <c r="B4" s="106" t="s">
        <v>2545</v>
      </c>
      <c r="C4" s="260" t="s">
        <v>20</v>
      </c>
      <c r="D4" s="32" t="s">
        <v>2548</v>
      </c>
      <c r="E4" s="34">
        <v>46203</v>
      </c>
      <c r="F4" s="34">
        <v>46245</v>
      </c>
      <c r="G4" s="32" t="s">
        <v>89</v>
      </c>
      <c r="H4" s="32" t="s">
        <v>621</v>
      </c>
      <c r="I4" s="112" t="s">
        <v>105</v>
      </c>
      <c r="J4" s="81">
        <v>5900</v>
      </c>
      <c r="K4" s="81">
        <v>0</v>
      </c>
      <c r="L4" s="143">
        <v>180</v>
      </c>
      <c r="M4" s="198">
        <f t="shared" si="0"/>
        <v>6080</v>
      </c>
      <c r="N4" s="198">
        <f t="shared" si="1"/>
        <v>6080</v>
      </c>
      <c r="O4" s="6"/>
      <c r="P4" s="150"/>
      <c r="Q4" s="151"/>
    </row>
    <row r="5" spans="1:17" ht="25.5" customHeight="1">
      <c r="A5" s="114" t="s">
        <v>2549</v>
      </c>
      <c r="B5" s="106" t="s">
        <v>2545</v>
      </c>
      <c r="C5" s="260" t="s">
        <v>20</v>
      </c>
      <c r="D5" s="32" t="s">
        <v>2550</v>
      </c>
      <c r="E5" s="34">
        <v>46211</v>
      </c>
      <c r="F5" s="34">
        <v>46248</v>
      </c>
      <c r="G5" s="32" t="s">
        <v>89</v>
      </c>
      <c r="H5" s="32" t="s">
        <v>621</v>
      </c>
      <c r="I5" s="112" t="s">
        <v>105</v>
      </c>
      <c r="J5" s="81">
        <v>5900</v>
      </c>
      <c r="K5" s="81">
        <v>0</v>
      </c>
      <c r="L5" s="143">
        <v>0</v>
      </c>
      <c r="M5" s="198">
        <f t="shared" si="0"/>
        <v>5900</v>
      </c>
      <c r="N5" s="198">
        <f t="shared" si="1"/>
        <v>5900</v>
      </c>
      <c r="O5" s="6"/>
      <c r="P5" s="299"/>
      <c r="Q5" s="300"/>
    </row>
    <row r="6" spans="1:17" ht="30" customHeight="1">
      <c r="A6" s="114" t="s">
        <v>2551</v>
      </c>
      <c r="B6" s="106" t="s">
        <v>2545</v>
      </c>
      <c r="C6" s="260" t="s">
        <v>20</v>
      </c>
      <c r="D6" s="32" t="s">
        <v>2552</v>
      </c>
      <c r="E6" s="34">
        <v>46211</v>
      </c>
      <c r="F6" s="34">
        <v>46248</v>
      </c>
      <c r="G6" s="32" t="s">
        <v>89</v>
      </c>
      <c r="H6" s="32" t="s">
        <v>621</v>
      </c>
      <c r="I6" s="112" t="s">
        <v>105</v>
      </c>
      <c r="J6" s="81">
        <v>5900</v>
      </c>
      <c r="K6" s="81">
        <v>0</v>
      </c>
      <c r="L6" s="143">
        <v>0</v>
      </c>
      <c r="M6" s="198">
        <f t="shared" si="0"/>
        <v>5900</v>
      </c>
      <c r="N6" s="198">
        <f t="shared" si="1"/>
        <v>5900</v>
      </c>
      <c r="O6" s="6"/>
      <c r="P6" s="299"/>
      <c r="Q6" s="300"/>
    </row>
    <row r="7" spans="1:17" ht="32.25" customHeight="1">
      <c r="A7" s="114" t="s">
        <v>2553</v>
      </c>
      <c r="B7" s="106" t="s">
        <v>2545</v>
      </c>
      <c r="C7" s="260" t="s">
        <v>20</v>
      </c>
      <c r="D7" s="32" t="s">
        <v>2554</v>
      </c>
      <c r="E7" s="34">
        <v>46225</v>
      </c>
      <c r="F7" s="34">
        <v>46259</v>
      </c>
      <c r="G7" s="32" t="s">
        <v>89</v>
      </c>
      <c r="H7" s="32" t="s">
        <v>621</v>
      </c>
      <c r="I7" s="112" t="s">
        <v>105</v>
      </c>
      <c r="J7" s="81">
        <v>5200</v>
      </c>
      <c r="K7" s="81">
        <v>0</v>
      </c>
      <c r="L7" s="143">
        <v>0</v>
      </c>
      <c r="M7" s="198">
        <f t="shared" si="0"/>
        <v>5200</v>
      </c>
      <c r="N7" s="198">
        <f t="shared" si="1"/>
        <v>5200</v>
      </c>
      <c r="O7" s="6"/>
      <c r="P7" s="299"/>
      <c r="Q7" s="300"/>
    </row>
    <row r="8" spans="1:17" ht="30.75" customHeight="1">
      <c r="A8" s="114" t="s">
        <v>2555</v>
      </c>
      <c r="B8" s="106" t="s">
        <v>2545</v>
      </c>
      <c r="C8" s="260" t="s">
        <v>20</v>
      </c>
      <c r="D8" s="32" t="s">
        <v>2556</v>
      </c>
      <c r="E8" s="34">
        <v>46232</v>
      </c>
      <c r="F8" s="34">
        <v>46269</v>
      </c>
      <c r="G8" s="32" t="s">
        <v>89</v>
      </c>
      <c r="H8" s="32" t="s">
        <v>621</v>
      </c>
      <c r="I8" s="112" t="s">
        <v>105</v>
      </c>
      <c r="J8" s="81">
        <v>5000</v>
      </c>
      <c r="K8" s="81">
        <v>0</v>
      </c>
      <c r="L8" s="143">
        <v>0</v>
      </c>
      <c r="M8" s="198">
        <f t="shared" si="0"/>
        <v>5000</v>
      </c>
      <c r="N8" s="198">
        <f t="shared" si="1"/>
        <v>5000</v>
      </c>
      <c r="O8" s="6"/>
      <c r="P8" s="299"/>
      <c r="Q8" s="300"/>
    </row>
    <row r="9" spans="1:17" ht="30.75" customHeight="1">
      <c r="A9" s="114" t="s">
        <v>2557</v>
      </c>
      <c r="B9" s="106" t="s">
        <v>2545</v>
      </c>
      <c r="C9" s="260" t="s">
        <v>20</v>
      </c>
      <c r="D9" s="32" t="s">
        <v>2558</v>
      </c>
      <c r="E9" s="34">
        <v>46232</v>
      </c>
      <c r="F9" s="34">
        <v>46269</v>
      </c>
      <c r="G9" s="32" t="s">
        <v>89</v>
      </c>
      <c r="H9" s="32" t="s">
        <v>621</v>
      </c>
      <c r="I9" s="112" t="s">
        <v>105</v>
      </c>
      <c r="J9" s="81">
        <v>5000</v>
      </c>
      <c r="K9" s="81">
        <v>0</v>
      </c>
      <c r="L9" s="143">
        <v>0</v>
      </c>
      <c r="M9" s="198">
        <f t="shared" si="0"/>
        <v>5000</v>
      </c>
      <c r="N9" s="198">
        <f t="shared" si="1"/>
        <v>5000</v>
      </c>
      <c r="O9" s="6"/>
      <c r="P9" s="299"/>
      <c r="Q9" s="300"/>
    </row>
    <row r="10" spans="1:17" ht="27.6">
      <c r="A10" s="114" t="s">
        <v>2559</v>
      </c>
      <c r="B10" s="106" t="s">
        <v>2545</v>
      </c>
      <c r="C10" s="260" t="s">
        <v>20</v>
      </c>
      <c r="D10" s="32" t="s">
        <v>2560</v>
      </c>
      <c r="E10" s="34">
        <v>46253</v>
      </c>
      <c r="F10" s="34">
        <v>46287</v>
      </c>
      <c r="G10" s="32" t="s">
        <v>89</v>
      </c>
      <c r="H10" s="32" t="s">
        <v>621</v>
      </c>
      <c r="I10" s="112" t="s">
        <v>105</v>
      </c>
      <c r="J10" s="81">
        <v>7450</v>
      </c>
      <c r="K10" s="81">
        <v>0</v>
      </c>
      <c r="L10" s="143">
        <v>0</v>
      </c>
      <c r="M10" s="198">
        <f>J10+K10+L10</f>
        <v>7450</v>
      </c>
      <c r="N10" s="198">
        <f>M10</f>
        <v>7450</v>
      </c>
      <c r="O10" s="6"/>
      <c r="P10" s="299"/>
      <c r="Q10" s="300"/>
    </row>
    <row r="11" spans="1:17" ht="27.6">
      <c r="A11" s="114" t="s">
        <v>2561</v>
      </c>
      <c r="B11" s="106" t="s">
        <v>2545</v>
      </c>
      <c r="C11" s="260" t="s">
        <v>20</v>
      </c>
      <c r="D11" s="32" t="s">
        <v>2562</v>
      </c>
      <c r="E11" s="34">
        <v>46253</v>
      </c>
      <c r="F11" s="34">
        <v>46287</v>
      </c>
      <c r="G11" s="32" t="s">
        <v>89</v>
      </c>
      <c r="H11" s="32" t="s">
        <v>621</v>
      </c>
      <c r="I11" s="112" t="s">
        <v>105</v>
      </c>
      <c r="J11" s="81">
        <v>7450</v>
      </c>
      <c r="K11" s="81">
        <v>0</v>
      </c>
      <c r="L11" s="143">
        <v>0</v>
      </c>
      <c r="M11" s="198">
        <f>J11+K11+L11</f>
        <v>7450</v>
      </c>
      <c r="N11" s="198">
        <f>M11</f>
        <v>7450</v>
      </c>
      <c r="O11" s="6"/>
      <c r="P11" s="299"/>
      <c r="Q11" s="300"/>
    </row>
    <row r="12" spans="1:17" ht="27.6">
      <c r="A12" s="114" t="s">
        <v>2563</v>
      </c>
      <c r="B12" s="106" t="s">
        <v>2545</v>
      </c>
      <c r="C12" s="260" t="s">
        <v>20</v>
      </c>
      <c r="D12" s="32" t="s">
        <v>2564</v>
      </c>
      <c r="E12" s="34">
        <v>46267</v>
      </c>
      <c r="F12" s="34">
        <v>46301</v>
      </c>
      <c r="G12" s="32" t="s">
        <v>89</v>
      </c>
      <c r="H12" s="32" t="s">
        <v>621</v>
      </c>
      <c r="I12" s="112" t="s">
        <v>105</v>
      </c>
      <c r="J12" s="81">
        <v>8750</v>
      </c>
      <c r="K12" s="81">
        <v>0</v>
      </c>
      <c r="L12" s="143">
        <v>0</v>
      </c>
      <c r="M12" s="198">
        <f>J12+K12+L12</f>
        <v>8750</v>
      </c>
      <c r="N12" s="198">
        <f>M12</f>
        <v>8750</v>
      </c>
    </row>
    <row r="15" spans="1:17">
      <c r="P15"/>
    </row>
    <row r="16" spans="1:17">
      <c r="P16"/>
    </row>
    <row r="17" spans="16:17">
      <c r="P17"/>
    </row>
    <row r="18" spans="16:17">
      <c r="P18"/>
    </row>
    <row r="19" spans="16:17">
      <c r="P19"/>
    </row>
    <row r="20" spans="16:17">
      <c r="P20"/>
    </row>
    <row r="21" spans="16:17">
      <c r="P21"/>
    </row>
    <row r="22" spans="16:17">
      <c r="P22"/>
      <c r="Q22" s="1"/>
    </row>
    <row r="23" spans="16:17">
      <c r="P23"/>
      <c r="Q23" s="1"/>
    </row>
  </sheetData>
  <conditionalFormatting sqref="A1:A2">
    <cfRule type="duplicateValues" dxfId="577" priority="42"/>
    <cfRule type="duplicateValues" dxfId="576" priority="44"/>
    <cfRule type="duplicateValues" dxfId="575" priority="45"/>
    <cfRule type="duplicateValues" dxfId="574" priority="47"/>
    <cfRule type="duplicateValues" dxfId="573" priority="48"/>
    <cfRule type="duplicateValues" dxfId="572" priority="49"/>
    <cfRule type="duplicateValues" dxfId="571" priority="50"/>
    <cfRule type="duplicateValues" dxfId="570" priority="55"/>
  </conditionalFormatting>
  <conditionalFormatting sqref="A3:A9">
    <cfRule type="duplicateValues" dxfId="569" priority="76"/>
    <cfRule type="duplicateValues" dxfId="568" priority="77"/>
    <cfRule type="duplicateValues" dxfId="567" priority="78"/>
    <cfRule type="duplicateValues" dxfId="566" priority="79"/>
    <cfRule type="duplicateValues" dxfId="565" priority="80"/>
    <cfRule type="duplicateValues" dxfId="564" priority="81"/>
    <cfRule type="duplicateValues" dxfId="563" priority="82"/>
    <cfRule type="duplicateValues" dxfId="562" priority="83"/>
    <cfRule type="duplicateValues" dxfId="561" priority="84"/>
    <cfRule type="duplicateValues" dxfId="560" priority="85"/>
    <cfRule type="duplicateValues" dxfId="559" priority="86"/>
    <cfRule type="duplicateValues" dxfId="558" priority="87"/>
    <cfRule type="duplicateValues" dxfId="557" priority="88"/>
    <cfRule type="duplicateValues" dxfId="556" priority="89"/>
    <cfRule type="duplicateValues" dxfId="555" priority="90"/>
    <cfRule type="duplicateValues" dxfId="554" priority="91"/>
    <cfRule type="duplicateValues" dxfId="553" priority="92"/>
    <cfRule type="duplicateValues" dxfId="552" priority="93"/>
    <cfRule type="duplicateValues" dxfId="551" priority="94"/>
  </conditionalFormatting>
  <conditionalFormatting sqref="A10:A12">
    <cfRule type="duplicateValues" dxfId="550" priority="4749"/>
    <cfRule type="duplicateValues" dxfId="549" priority="4750"/>
    <cfRule type="duplicateValues" dxfId="548" priority="4751"/>
    <cfRule type="duplicateValues" dxfId="547" priority="4752"/>
    <cfRule type="duplicateValues" dxfId="546" priority="4753"/>
    <cfRule type="duplicateValues" dxfId="545" priority="4754"/>
    <cfRule type="duplicateValues" dxfId="544" priority="4755"/>
    <cfRule type="duplicateValues" dxfId="543" priority="4756"/>
    <cfRule type="duplicateValues" dxfId="542" priority="4757"/>
    <cfRule type="duplicateValues" dxfId="541" priority="4758"/>
    <cfRule type="duplicateValues" dxfId="540" priority="4759"/>
    <cfRule type="duplicateValues" dxfId="539" priority="4760"/>
    <cfRule type="duplicateValues" dxfId="538" priority="4761"/>
    <cfRule type="duplicateValues" dxfId="537" priority="4762"/>
    <cfRule type="duplicateValues" dxfId="536" priority="4763"/>
    <cfRule type="duplicateValues" dxfId="535" priority="4764"/>
    <cfRule type="duplicateValues" dxfId="534" priority="4765"/>
    <cfRule type="duplicateValues" dxfId="533" priority="4766"/>
    <cfRule type="duplicateValues" dxfId="532" priority="4767"/>
    <cfRule type="duplicateValues" dxfId="531" priority="4768"/>
  </conditionalFormatting>
  <conditionalFormatting sqref="A13:A1048576 A1:A2">
    <cfRule type="duplicateValues" dxfId="530" priority="37"/>
    <cfRule type="duplicateValues" dxfId="529" priority="38"/>
    <cfRule type="duplicateValues" dxfId="528" priority="39"/>
    <cfRule type="duplicateValues" dxfId="527" priority="58"/>
    <cfRule type="duplicateValues" dxfId="526" priority="59"/>
    <cfRule type="duplicateValues" dxfId="525" priority="60"/>
    <cfRule type="duplicateValues" dxfId="524" priority="61"/>
    <cfRule type="duplicateValues" dxfId="523" priority="62"/>
    <cfRule type="duplicateValues" dxfId="522" priority="63"/>
    <cfRule type="duplicateValues" dxfId="521" priority="64"/>
    <cfRule type="duplicateValues" dxfId="520" priority="65"/>
    <cfRule type="duplicateValues" dxfId="519" priority="66"/>
  </conditionalFormatting>
  <conditionalFormatting sqref="A13:A1048576 A1:A9">
    <cfRule type="duplicateValues" dxfId="518" priority="36"/>
  </conditionalFormatting>
  <conditionalFormatting sqref="A13:A1048576 D1:D2 A1:A2 D13:D1048576">
    <cfRule type="duplicateValues" dxfId="517" priority="57"/>
  </conditionalFormatting>
  <conditionalFormatting sqref="A13:A1048576">
    <cfRule type="duplicateValues" dxfId="516" priority="67"/>
    <cfRule type="duplicateValues" dxfId="515" priority="68"/>
    <cfRule type="duplicateValues" dxfId="514" priority="69"/>
  </conditionalFormatting>
  <conditionalFormatting sqref="D1:D2">
    <cfRule type="duplicateValues" dxfId="513" priority="43"/>
    <cfRule type="duplicateValues" dxfId="512" priority="46"/>
    <cfRule type="duplicateValues" dxfId="511" priority="51"/>
    <cfRule type="duplicateValues" dxfId="510" priority="52"/>
    <cfRule type="duplicateValues" dxfId="509" priority="53"/>
    <cfRule type="duplicateValues" dxfId="508" priority="54"/>
    <cfRule type="duplicateValues" dxfId="507" priority="56"/>
  </conditionalFormatting>
  <conditionalFormatting sqref="D3:D9 A3:A9">
    <cfRule type="duplicateValues" dxfId="506" priority="95"/>
  </conditionalFormatting>
  <conditionalFormatting sqref="D3:D9">
    <cfRule type="duplicateValues" dxfId="505" priority="96"/>
    <cfRule type="duplicateValues" dxfId="504" priority="97"/>
    <cfRule type="duplicateValues" dxfId="503" priority="98"/>
    <cfRule type="duplicateValues" dxfId="502" priority="99"/>
    <cfRule type="duplicateValues" dxfId="501" priority="100"/>
    <cfRule type="duplicateValues" dxfId="500" priority="101"/>
    <cfRule type="duplicateValues" dxfId="499" priority="102"/>
    <cfRule type="duplicateValues" dxfId="498" priority="103"/>
    <cfRule type="duplicateValues" dxfId="497" priority="104"/>
    <cfRule type="duplicateValues" dxfId="496" priority="105"/>
    <cfRule type="duplicateValues" dxfId="495" priority="106"/>
    <cfRule type="duplicateValues" dxfId="494" priority="107"/>
    <cfRule type="duplicateValues" dxfId="493" priority="108"/>
  </conditionalFormatting>
  <conditionalFormatting sqref="D10:D12 A10:A12">
    <cfRule type="duplicateValues" dxfId="492" priority="4785"/>
  </conditionalFormatting>
  <conditionalFormatting sqref="D10:D12">
    <cfRule type="duplicateValues" dxfId="491" priority="4787"/>
    <cfRule type="duplicateValues" dxfId="490" priority="4788"/>
    <cfRule type="duplicateValues" dxfId="489" priority="4789"/>
    <cfRule type="duplicateValues" dxfId="488" priority="4790"/>
    <cfRule type="duplicateValues" dxfId="487" priority="4791"/>
    <cfRule type="duplicateValues" dxfId="486" priority="4792"/>
    <cfRule type="duplicateValues" dxfId="485" priority="4793"/>
    <cfRule type="duplicateValues" dxfId="484" priority="4794"/>
    <cfRule type="duplicateValues" dxfId="483" priority="4795"/>
    <cfRule type="duplicateValues" dxfId="482" priority="4796"/>
    <cfRule type="duplicateValues" dxfId="481" priority="4797"/>
    <cfRule type="duplicateValues" dxfId="480" priority="4798"/>
    <cfRule type="duplicateValues" dxfId="479" priority="4799"/>
  </conditionalFormatting>
  <conditionalFormatting sqref="D13:D1048576 A1:A9 D1:D9 A13:A1048576">
    <cfRule type="duplicateValues" dxfId="478" priority="35"/>
  </conditionalFormatting>
  <conditionalFormatting sqref="D13:D1048576 D1:D2">
    <cfRule type="duplicateValues" dxfId="477" priority="40"/>
    <cfRule type="duplicateValues" dxfId="476" priority="41"/>
    <cfRule type="duplicateValues" dxfId="475" priority="70"/>
    <cfRule type="duplicateValues" dxfId="474" priority="71"/>
    <cfRule type="duplicateValues" dxfId="473" priority="72"/>
    <cfRule type="duplicateValues" dxfId="472" priority="73"/>
    <cfRule type="duplicateValues" dxfId="471" priority="74"/>
    <cfRule type="duplicateValues" dxfId="470" priority="75"/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2FEC4-0CB3-479C-BF03-D9CEC9768D51}">
  <dimension ref="A1:Q13"/>
  <sheetViews>
    <sheetView topLeftCell="B12" workbookViewId="0">
      <selection activeCell="K29" sqref="K29"/>
    </sheetView>
  </sheetViews>
  <sheetFormatPr defaultColWidth="11.42578125" defaultRowHeight="14.45"/>
  <cols>
    <col min="1" max="1" width="23.7109375" style="90" customWidth="1"/>
    <col min="2" max="2" width="21.7109375" style="91" customWidth="1"/>
    <col min="3" max="3" width="24.42578125" style="57" bestFit="1" customWidth="1"/>
    <col min="4" max="4" width="13.7109375" style="92" bestFit="1" customWidth="1"/>
    <col min="5" max="5" width="7.140625" style="92" customWidth="1"/>
    <col min="6" max="6" width="7.42578125" style="57" customWidth="1"/>
    <col min="7" max="7" width="12.7109375" style="57" bestFit="1" customWidth="1"/>
    <col min="8" max="8" width="12.7109375" style="58" bestFit="1" customWidth="1"/>
    <col min="9" max="9" width="18.7109375" style="131" customWidth="1"/>
    <col min="10" max="10" width="15.7109375" style="52" bestFit="1" customWidth="1"/>
    <col min="11" max="11" width="15.7109375" style="52" customWidth="1"/>
    <col min="12" max="12" width="10.7109375" style="157" customWidth="1"/>
    <col min="13" max="14" width="8.7109375" customWidth="1"/>
    <col min="15" max="15" width="16.7109375" style="57" bestFit="1" customWidth="1"/>
    <col min="16" max="16" width="11.42578125" style="59"/>
  </cols>
  <sheetData>
    <row r="1" spans="1:17" ht="21">
      <c r="C1" s="91"/>
      <c r="D1" s="57"/>
      <c r="F1" s="92"/>
      <c r="H1" s="57"/>
      <c r="I1" s="98"/>
      <c r="J1" s="130"/>
      <c r="K1" s="130"/>
      <c r="L1" s="156"/>
      <c r="M1" s="100"/>
      <c r="N1" s="138"/>
      <c r="O1" s="115">
        <f>SUM(N3:N82)</f>
        <v>0</v>
      </c>
      <c r="P1" s="57"/>
      <c r="Q1" s="59"/>
    </row>
    <row r="2" spans="1:17" ht="23.25" customHeight="1">
      <c r="A2" s="39" t="s">
        <v>45</v>
      </c>
      <c r="B2" s="39" t="s">
        <v>491</v>
      </c>
      <c r="C2" s="39" t="s">
        <v>47</v>
      </c>
      <c r="D2" s="39" t="s">
        <v>49</v>
      </c>
      <c r="E2" s="60" t="s">
        <v>50</v>
      </c>
      <c r="F2" s="60" t="s">
        <v>51</v>
      </c>
      <c r="G2" s="39" t="s">
        <v>52</v>
      </c>
      <c r="H2" s="40" t="s">
        <v>53</v>
      </c>
      <c r="I2" s="40" t="s">
        <v>54</v>
      </c>
      <c r="J2" s="101" t="s">
        <v>58</v>
      </c>
      <c r="K2" s="54" t="s">
        <v>556</v>
      </c>
      <c r="L2" s="272" t="s">
        <v>766</v>
      </c>
      <c r="M2" s="137" t="s">
        <v>55</v>
      </c>
      <c r="N2" s="204"/>
      <c r="O2"/>
      <c r="P2" s="57"/>
      <c r="Q2" s="59"/>
    </row>
    <row r="3" spans="1:17" ht="27.6">
      <c r="A3" s="210" t="s">
        <v>2565</v>
      </c>
      <c r="B3" s="211" t="s">
        <v>2566</v>
      </c>
      <c r="C3" s="308" t="s">
        <v>20</v>
      </c>
      <c r="D3" s="7" t="s">
        <v>2567</v>
      </c>
      <c r="E3" s="9">
        <v>46183</v>
      </c>
      <c r="F3" s="9">
        <v>46217</v>
      </c>
      <c r="G3" s="7" t="s">
        <v>89</v>
      </c>
      <c r="H3" s="7" t="s">
        <v>621</v>
      </c>
      <c r="I3" s="227" t="s">
        <v>105</v>
      </c>
      <c r="J3" s="12">
        <v>6300</v>
      </c>
      <c r="K3" s="12">
        <v>0</v>
      </c>
      <c r="L3" s="258">
        <v>100</v>
      </c>
      <c r="M3" s="247">
        <f t="shared" ref="M3:M4" si="0">J3+K3+L3</f>
        <v>6400</v>
      </c>
      <c r="N3" s="247">
        <v>0</v>
      </c>
      <c r="O3" s="1"/>
      <c r="P3" s="132" t="s">
        <v>56</v>
      </c>
      <c r="Q3" s="133" t="s">
        <v>57</v>
      </c>
    </row>
    <row r="4" spans="1:17" ht="27.6">
      <c r="A4" s="210" t="s">
        <v>2568</v>
      </c>
      <c r="B4" s="211" t="s">
        <v>2566</v>
      </c>
      <c r="C4" s="308" t="s">
        <v>20</v>
      </c>
      <c r="D4" s="7" t="s">
        <v>2569</v>
      </c>
      <c r="E4" s="9">
        <v>46183</v>
      </c>
      <c r="F4" s="9">
        <v>46217</v>
      </c>
      <c r="G4" s="7" t="s">
        <v>89</v>
      </c>
      <c r="H4" s="7" t="s">
        <v>621</v>
      </c>
      <c r="I4" s="227" t="s">
        <v>105</v>
      </c>
      <c r="J4" s="12">
        <v>6300</v>
      </c>
      <c r="K4" s="12">
        <v>0</v>
      </c>
      <c r="L4" s="258">
        <v>100</v>
      </c>
      <c r="M4" s="247">
        <f t="shared" si="0"/>
        <v>6400</v>
      </c>
      <c r="N4" s="247">
        <v>0</v>
      </c>
      <c r="O4" s="6"/>
      <c r="P4" s="150">
        <v>46290</v>
      </c>
      <c r="Q4" s="151">
        <v>12800</v>
      </c>
    </row>
    <row r="5" spans="1:17">
      <c r="P5"/>
    </row>
    <row r="6" spans="1:17">
      <c r="P6"/>
    </row>
    <row r="7" spans="1:17">
      <c r="P7"/>
    </row>
    <row r="8" spans="1:17">
      <c r="P8"/>
    </row>
    <row r="9" spans="1:17">
      <c r="P9"/>
    </row>
    <row r="10" spans="1:17">
      <c r="P10"/>
    </row>
    <row r="11" spans="1:17">
      <c r="P11"/>
    </row>
    <row r="12" spans="1:17">
      <c r="P12"/>
      <c r="Q12" s="1"/>
    </row>
    <row r="13" spans="1:17">
      <c r="P13"/>
      <c r="Q13" s="1"/>
    </row>
  </sheetData>
  <conditionalFormatting sqref="A1:A2">
    <cfRule type="duplicateValues" dxfId="469" priority="42"/>
    <cfRule type="duplicateValues" dxfId="468" priority="44"/>
    <cfRule type="duplicateValues" dxfId="467" priority="45"/>
    <cfRule type="duplicateValues" dxfId="466" priority="47"/>
    <cfRule type="duplicateValues" dxfId="465" priority="48"/>
    <cfRule type="duplicateValues" dxfId="464" priority="49"/>
    <cfRule type="duplicateValues" dxfId="463" priority="50"/>
    <cfRule type="duplicateValues" dxfId="462" priority="55"/>
  </conditionalFormatting>
  <conditionalFormatting sqref="A1:A1048576">
    <cfRule type="duplicateValues" dxfId="461" priority="36"/>
  </conditionalFormatting>
  <conditionalFormatting sqref="A3:A4">
    <cfRule type="duplicateValues" dxfId="460" priority="4644"/>
    <cfRule type="duplicateValues" dxfId="459" priority="4645"/>
    <cfRule type="duplicateValues" dxfId="458" priority="4646"/>
    <cfRule type="duplicateValues" dxfId="457" priority="4647"/>
    <cfRule type="duplicateValues" dxfId="456" priority="4648"/>
    <cfRule type="duplicateValues" dxfId="455" priority="4649"/>
    <cfRule type="duplicateValues" dxfId="454" priority="4650"/>
    <cfRule type="duplicateValues" dxfId="453" priority="4651"/>
    <cfRule type="duplicateValues" dxfId="452" priority="4652"/>
    <cfRule type="duplicateValues" dxfId="451" priority="4653"/>
    <cfRule type="duplicateValues" dxfId="450" priority="4654"/>
    <cfRule type="duplicateValues" dxfId="449" priority="4655"/>
    <cfRule type="duplicateValues" dxfId="448" priority="4656"/>
    <cfRule type="duplicateValues" dxfId="447" priority="4657"/>
    <cfRule type="duplicateValues" dxfId="446" priority="4658"/>
    <cfRule type="duplicateValues" dxfId="445" priority="4659"/>
    <cfRule type="duplicateValues" dxfId="444" priority="4660"/>
    <cfRule type="duplicateValues" dxfId="443" priority="4661"/>
    <cfRule type="duplicateValues" dxfId="442" priority="4662"/>
  </conditionalFormatting>
  <conditionalFormatting sqref="A5:A1048576 A1:A2">
    <cfRule type="duplicateValues" dxfId="441" priority="37"/>
    <cfRule type="duplicateValues" dxfId="440" priority="38"/>
    <cfRule type="duplicateValues" dxfId="439" priority="39"/>
    <cfRule type="duplicateValues" dxfId="438" priority="58"/>
    <cfRule type="duplicateValues" dxfId="437" priority="59"/>
    <cfRule type="duplicateValues" dxfId="436" priority="60"/>
    <cfRule type="duplicateValues" dxfId="435" priority="61"/>
    <cfRule type="duplicateValues" dxfId="434" priority="62"/>
    <cfRule type="duplicateValues" dxfId="433" priority="63"/>
    <cfRule type="duplicateValues" dxfId="432" priority="64"/>
    <cfRule type="duplicateValues" dxfId="431" priority="65"/>
    <cfRule type="duplicateValues" dxfId="430" priority="66"/>
  </conditionalFormatting>
  <conditionalFormatting sqref="A5:A1048576 D1:D2 A1:A2 D5:D1048576">
    <cfRule type="duplicateValues" dxfId="429" priority="57"/>
  </conditionalFormatting>
  <conditionalFormatting sqref="A5:A1048576">
    <cfRule type="duplicateValues" dxfId="428" priority="67"/>
    <cfRule type="duplicateValues" dxfId="427" priority="68"/>
    <cfRule type="duplicateValues" dxfId="426" priority="69"/>
  </conditionalFormatting>
  <conditionalFormatting sqref="D1:D2">
    <cfRule type="duplicateValues" dxfId="425" priority="43"/>
    <cfRule type="duplicateValues" dxfId="424" priority="46"/>
    <cfRule type="duplicateValues" dxfId="423" priority="51"/>
    <cfRule type="duplicateValues" dxfId="422" priority="52"/>
    <cfRule type="duplicateValues" dxfId="421" priority="53"/>
    <cfRule type="duplicateValues" dxfId="420" priority="54"/>
    <cfRule type="duplicateValues" dxfId="419" priority="56"/>
  </conditionalFormatting>
  <conditionalFormatting sqref="D1:D1048576 A1:A1048576">
    <cfRule type="duplicateValues" dxfId="418" priority="35"/>
  </conditionalFormatting>
  <conditionalFormatting sqref="D3:D4 A3:A4">
    <cfRule type="duplicateValues" dxfId="417" priority="4678"/>
  </conditionalFormatting>
  <conditionalFormatting sqref="D3:D4">
    <cfRule type="duplicateValues" dxfId="416" priority="4680"/>
    <cfRule type="duplicateValues" dxfId="415" priority="4681"/>
    <cfRule type="duplicateValues" dxfId="414" priority="4682"/>
    <cfRule type="duplicateValues" dxfId="413" priority="4683"/>
    <cfRule type="duplicateValues" dxfId="412" priority="4684"/>
    <cfRule type="duplicateValues" dxfId="411" priority="4685"/>
    <cfRule type="duplicateValues" dxfId="410" priority="4686"/>
    <cfRule type="duplicateValues" dxfId="409" priority="4687"/>
    <cfRule type="duplicateValues" dxfId="408" priority="4688"/>
    <cfRule type="duplicateValues" dxfId="407" priority="4689"/>
    <cfRule type="duplicateValues" dxfId="406" priority="4690"/>
    <cfRule type="duplicateValues" dxfId="405" priority="4691"/>
    <cfRule type="duplicateValues" dxfId="404" priority="4692"/>
  </conditionalFormatting>
  <conditionalFormatting sqref="D5:D1048576 D1:D2">
    <cfRule type="duplicateValues" dxfId="403" priority="40"/>
    <cfRule type="duplicateValues" dxfId="402" priority="41"/>
    <cfRule type="duplicateValues" dxfId="401" priority="70"/>
    <cfRule type="duplicateValues" dxfId="400" priority="71"/>
    <cfRule type="duplicateValues" dxfId="399" priority="72"/>
    <cfRule type="duplicateValues" dxfId="398" priority="73"/>
    <cfRule type="duplicateValues" dxfId="397" priority="74"/>
    <cfRule type="duplicateValues" dxfId="396" priority="75"/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09C23-7C72-4876-9235-1920DFC3D075}">
  <sheetPr codeName="Hoja46"/>
  <dimension ref="A1:P17"/>
  <sheetViews>
    <sheetView workbookViewId="0"/>
  </sheetViews>
  <sheetFormatPr defaultColWidth="11.42578125" defaultRowHeight="14.45"/>
  <cols>
    <col min="1" max="1" width="18.140625" style="90" customWidth="1"/>
    <col min="2" max="2" width="19.7109375" style="91" bestFit="1" customWidth="1"/>
    <col min="3" max="3" width="15.140625" style="57" bestFit="1" customWidth="1"/>
    <col min="4" max="4" width="13.7109375" style="92" bestFit="1" customWidth="1"/>
    <col min="5" max="5" width="7.140625" style="92" customWidth="1"/>
    <col min="6" max="6" width="7.42578125" style="57" customWidth="1"/>
    <col min="7" max="7" width="12.7109375" style="57" bestFit="1" customWidth="1"/>
    <col min="8" max="8" width="12.7109375" style="58" bestFit="1" customWidth="1"/>
    <col min="9" max="9" width="18.7109375" style="131" customWidth="1"/>
    <col min="10" max="10" width="15.7109375" style="52" bestFit="1" customWidth="1"/>
    <col min="11" max="11" width="10.7109375" style="157" customWidth="1"/>
    <col min="12" max="13" width="8.7109375" customWidth="1"/>
    <col min="14" max="14" width="16.7109375" style="57" bestFit="1" customWidth="1"/>
    <col min="15" max="15" width="11.42578125" style="59"/>
  </cols>
  <sheetData>
    <row r="1" spans="1:16" ht="15" customHeight="1">
      <c r="C1" s="91"/>
      <c r="D1" s="57"/>
      <c r="F1" s="92"/>
      <c r="H1" s="57"/>
      <c r="I1" s="98"/>
      <c r="J1" s="130"/>
      <c r="K1" s="156"/>
      <c r="L1" s="100"/>
      <c r="M1" s="138"/>
      <c r="N1" s="115">
        <f>SUM(M3:M116)</f>
        <v>5900</v>
      </c>
      <c r="O1" s="57"/>
      <c r="P1" s="59"/>
    </row>
    <row r="2" spans="1:16" ht="24.4" customHeight="1">
      <c r="A2" s="39" t="s">
        <v>45</v>
      </c>
      <c r="B2" s="39" t="s">
        <v>491</v>
      </c>
      <c r="C2" s="39" t="s">
        <v>47</v>
      </c>
      <c r="D2" s="39" t="s">
        <v>49</v>
      </c>
      <c r="E2" s="60" t="s">
        <v>50</v>
      </c>
      <c r="F2" s="60" t="s">
        <v>51</v>
      </c>
      <c r="G2" s="39" t="s">
        <v>52</v>
      </c>
      <c r="H2" s="40" t="s">
        <v>53</v>
      </c>
      <c r="I2" s="40" t="s">
        <v>54</v>
      </c>
      <c r="J2" s="101" t="s">
        <v>58</v>
      </c>
      <c r="K2" s="101" t="s">
        <v>766</v>
      </c>
      <c r="L2" s="137" t="s">
        <v>55</v>
      </c>
      <c r="M2" s="204"/>
      <c r="N2" s="462"/>
      <c r="O2" s="57"/>
      <c r="P2" s="59"/>
    </row>
    <row r="3" spans="1:16" ht="54.6" customHeight="1">
      <c r="A3" s="310" t="s">
        <v>2570</v>
      </c>
      <c r="B3" s="106" t="s">
        <v>1153</v>
      </c>
      <c r="C3" s="260" t="s">
        <v>2571</v>
      </c>
      <c r="D3" s="32" t="s">
        <v>2572</v>
      </c>
      <c r="E3" s="34">
        <v>46217</v>
      </c>
      <c r="F3" s="34">
        <v>46246</v>
      </c>
      <c r="G3" s="32" t="s">
        <v>149</v>
      </c>
      <c r="H3" s="32" t="s">
        <v>66</v>
      </c>
      <c r="I3" s="112" t="s">
        <v>105</v>
      </c>
      <c r="J3" s="81">
        <v>5900</v>
      </c>
      <c r="K3" s="143">
        <v>0</v>
      </c>
      <c r="L3" s="198">
        <f t="shared" ref="L3" si="0">SUM(J3:K3)</f>
        <v>5900</v>
      </c>
      <c r="M3" s="198">
        <v>5900</v>
      </c>
      <c r="N3" s="462"/>
      <c r="O3" s="132" t="s">
        <v>56</v>
      </c>
      <c r="P3" s="133" t="s">
        <v>57</v>
      </c>
    </row>
    <row r="4" spans="1:16" ht="25.15" customHeight="1">
      <c r="O4" s="150"/>
      <c r="P4" s="151"/>
    </row>
    <row r="5" spans="1:16">
      <c r="N5" s="59"/>
      <c r="O5" s="150"/>
      <c r="P5" s="151"/>
    </row>
    <row r="17" spans="7:8">
      <c r="G17" s="356"/>
      <c r="H17" s="357"/>
    </row>
  </sheetData>
  <mergeCells count="1">
    <mergeCell ref="N2:N3"/>
  </mergeCells>
  <conditionalFormatting sqref="A1:A2">
    <cfRule type="duplicateValues" dxfId="395" priority="25"/>
    <cfRule type="duplicateValues" dxfId="394" priority="27"/>
    <cfRule type="duplicateValues" dxfId="393" priority="28"/>
    <cfRule type="duplicateValues" dxfId="392" priority="30"/>
    <cfRule type="duplicateValues" dxfId="391" priority="31"/>
    <cfRule type="duplicateValues" dxfId="390" priority="32"/>
    <cfRule type="duplicateValues" dxfId="389" priority="33"/>
    <cfRule type="duplicateValues" dxfId="388" priority="38"/>
  </conditionalFormatting>
  <conditionalFormatting sqref="A1:A1048576">
    <cfRule type="duplicateValues" dxfId="387" priority="21"/>
    <cfRule type="duplicateValues" dxfId="386" priority="22"/>
    <cfRule type="duplicateValues" dxfId="385" priority="48"/>
    <cfRule type="duplicateValues" dxfId="384" priority="49"/>
  </conditionalFormatting>
  <conditionalFormatting sqref="A3">
    <cfRule type="duplicateValues" dxfId="383" priority="59"/>
    <cfRule type="duplicateValues" dxfId="382" priority="60"/>
    <cfRule type="duplicateValues" dxfId="381" priority="61"/>
    <cfRule type="duplicateValues" dxfId="380" priority="62"/>
    <cfRule type="duplicateValues" dxfId="379" priority="63"/>
    <cfRule type="duplicateValues" dxfId="378" priority="64"/>
    <cfRule type="duplicateValues" dxfId="377" priority="65"/>
    <cfRule type="duplicateValues" dxfId="376" priority="66"/>
    <cfRule type="duplicateValues" dxfId="375" priority="67"/>
    <cfRule type="duplicateValues" dxfId="374" priority="68"/>
    <cfRule type="duplicateValues" dxfId="373" priority="69"/>
    <cfRule type="duplicateValues" dxfId="372" priority="70"/>
    <cfRule type="duplicateValues" dxfId="371" priority="71"/>
    <cfRule type="duplicateValues" dxfId="370" priority="72"/>
    <cfRule type="duplicateValues" dxfId="369" priority="73"/>
  </conditionalFormatting>
  <conditionalFormatting sqref="A4:A1048576 A1:A2">
    <cfRule type="duplicateValues" dxfId="368" priority="41"/>
    <cfRule type="duplicateValues" dxfId="367" priority="42"/>
    <cfRule type="duplicateValues" dxfId="366" priority="43"/>
    <cfRule type="duplicateValues" dxfId="365" priority="44"/>
    <cfRule type="duplicateValues" dxfId="364" priority="45"/>
    <cfRule type="duplicateValues" dxfId="363" priority="46"/>
    <cfRule type="duplicateValues" dxfId="362" priority="47"/>
  </conditionalFormatting>
  <conditionalFormatting sqref="A4:A1048576">
    <cfRule type="duplicateValues" dxfId="361" priority="50"/>
    <cfRule type="duplicateValues" dxfId="360" priority="51"/>
    <cfRule type="duplicateValues" dxfId="359" priority="52"/>
  </conditionalFormatting>
  <conditionalFormatting sqref="D1:D2">
    <cfRule type="duplicateValues" dxfId="358" priority="26"/>
    <cfRule type="duplicateValues" dxfId="357" priority="29"/>
    <cfRule type="duplicateValues" dxfId="356" priority="34"/>
    <cfRule type="duplicateValues" dxfId="355" priority="35"/>
    <cfRule type="duplicateValues" dxfId="354" priority="36"/>
    <cfRule type="duplicateValues" dxfId="353" priority="37"/>
    <cfRule type="duplicateValues" dxfId="352" priority="39"/>
  </conditionalFormatting>
  <conditionalFormatting sqref="D1:D1048576 A1:A1048576">
    <cfRule type="duplicateValues" dxfId="351" priority="40"/>
  </conditionalFormatting>
  <conditionalFormatting sqref="D1:D1048576">
    <cfRule type="duplicateValues" dxfId="350" priority="23"/>
    <cfRule type="duplicateValues" dxfId="349" priority="24"/>
  </conditionalFormatting>
  <conditionalFormatting sqref="D3">
    <cfRule type="duplicateValues" dxfId="348" priority="74"/>
    <cfRule type="duplicateValues" dxfId="347" priority="75"/>
    <cfRule type="duplicateValues" dxfId="346" priority="76"/>
    <cfRule type="duplicateValues" dxfId="345" priority="77"/>
    <cfRule type="duplicateValues" dxfId="344" priority="78"/>
    <cfRule type="duplicateValues" dxfId="343" priority="79"/>
    <cfRule type="duplicateValues" dxfId="342" priority="80"/>
    <cfRule type="duplicateValues" dxfId="341" priority="81"/>
    <cfRule type="duplicateValues" dxfId="340" priority="82"/>
    <cfRule type="duplicateValues" dxfId="339" priority="83"/>
    <cfRule type="duplicateValues" dxfId="338" priority="84"/>
  </conditionalFormatting>
  <conditionalFormatting sqref="D4:D1048576 D1:D2">
    <cfRule type="duplicateValues" dxfId="337" priority="53"/>
    <cfRule type="duplicateValues" dxfId="336" priority="54"/>
    <cfRule type="duplicateValues" dxfId="335" priority="55"/>
    <cfRule type="duplicateValues" dxfId="334" priority="56"/>
    <cfRule type="duplicateValues" dxfId="333" priority="57"/>
    <cfRule type="duplicateValues" dxfId="332" priority="58"/>
  </conditionalFormatting>
  <conditionalFormatting sqref="G17">
    <cfRule type="duplicateValues" dxfId="331" priority="1"/>
    <cfRule type="duplicateValues" dxfId="330" priority="2"/>
    <cfRule type="duplicateValues" dxfId="329" priority="3"/>
    <cfRule type="duplicateValues" dxfId="328" priority="4"/>
    <cfRule type="duplicateValues" dxfId="327" priority="5"/>
    <cfRule type="duplicateValues" dxfId="326" priority="6"/>
    <cfRule type="duplicateValues" dxfId="325" priority="7"/>
    <cfRule type="duplicateValues" dxfId="324" priority="8"/>
    <cfRule type="duplicateValues" dxfId="323" priority="9"/>
    <cfRule type="duplicateValues" dxfId="322" priority="10"/>
    <cfRule type="duplicateValues" dxfId="321" priority="11"/>
    <cfRule type="duplicateValues" dxfId="320" priority="12"/>
    <cfRule type="duplicateValues" dxfId="319" priority="13"/>
    <cfRule type="duplicateValues" dxfId="318" priority="14"/>
    <cfRule type="duplicateValues" dxfId="317" priority="15"/>
    <cfRule type="duplicateValues" dxfId="316" priority="16"/>
    <cfRule type="duplicateValues" dxfId="315" priority="17"/>
    <cfRule type="duplicateValues" dxfId="314" priority="18"/>
    <cfRule type="duplicateValues" dxfId="313" priority="19"/>
    <cfRule type="duplicateValues" dxfId="312" priority="20"/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B37A7-E4BC-46BC-8A19-4D381B993A19}">
  <dimension ref="A1:P11"/>
  <sheetViews>
    <sheetView workbookViewId="0">
      <selection activeCell="P13" sqref="P13"/>
    </sheetView>
  </sheetViews>
  <sheetFormatPr defaultColWidth="11.42578125" defaultRowHeight="14.45"/>
  <cols>
    <col min="1" max="1" width="18.140625" style="90" customWidth="1"/>
    <col min="2" max="2" width="9.85546875" style="91" bestFit="1" customWidth="1"/>
    <col min="3" max="3" width="13.42578125" style="57" bestFit="1" customWidth="1"/>
    <col min="4" max="4" width="13.7109375" style="92" bestFit="1" customWidth="1"/>
    <col min="5" max="5" width="9.28515625" style="92" customWidth="1"/>
    <col min="6" max="6" width="9.5703125" style="57" customWidth="1"/>
    <col min="7" max="7" width="12.7109375" style="57" bestFit="1" customWidth="1"/>
    <col min="8" max="8" width="12.7109375" style="58" bestFit="1" customWidth="1"/>
    <col min="9" max="9" width="18.7109375" style="131" customWidth="1"/>
    <col min="10" max="10" width="15.7109375" style="52" bestFit="1" customWidth="1"/>
    <col min="11" max="11" width="10.7109375" style="157" customWidth="1"/>
    <col min="12" max="12" width="10.7109375" customWidth="1"/>
    <col min="13" max="13" width="12.42578125" customWidth="1"/>
    <col min="14" max="14" width="16.7109375" style="57" bestFit="1" customWidth="1"/>
    <col min="15" max="15" width="11.42578125" style="59"/>
  </cols>
  <sheetData>
    <row r="1" spans="1:16" ht="15" customHeight="1">
      <c r="C1" s="91"/>
      <c r="D1" s="57"/>
      <c r="F1" s="92"/>
      <c r="H1" s="57"/>
      <c r="I1" s="98"/>
      <c r="J1" s="130"/>
      <c r="K1" s="156"/>
      <c r="L1" s="100"/>
      <c r="M1" s="138"/>
      <c r="N1" s="115">
        <f>SUM(L3:L119)-SUM(P3:P39)</f>
        <v>7500</v>
      </c>
      <c r="O1" s="57"/>
      <c r="P1" s="59"/>
    </row>
    <row r="2" spans="1:16" ht="24.4" customHeight="1">
      <c r="A2" s="39" t="s">
        <v>45</v>
      </c>
      <c r="B2" s="39" t="s">
        <v>491</v>
      </c>
      <c r="C2" s="39" t="s">
        <v>47</v>
      </c>
      <c r="D2" s="39" t="s">
        <v>49</v>
      </c>
      <c r="E2" s="60" t="s">
        <v>50</v>
      </c>
      <c r="F2" s="60" t="s">
        <v>51</v>
      </c>
      <c r="G2" s="39" t="s">
        <v>52</v>
      </c>
      <c r="H2" s="40" t="s">
        <v>53</v>
      </c>
      <c r="I2" s="40" t="s">
        <v>54</v>
      </c>
      <c r="J2" s="101" t="s">
        <v>58</v>
      </c>
      <c r="K2" s="101" t="s">
        <v>766</v>
      </c>
      <c r="L2" s="137" t="s">
        <v>55</v>
      </c>
      <c r="M2" s="204"/>
      <c r="N2" s="462"/>
      <c r="O2" s="57"/>
      <c r="P2" s="59"/>
    </row>
    <row r="3" spans="1:16">
      <c r="A3" s="395" t="s">
        <v>2573</v>
      </c>
      <c r="B3" s="211" t="s">
        <v>24</v>
      </c>
      <c r="C3" s="8" t="s">
        <v>2574</v>
      </c>
      <c r="D3" s="226" t="s">
        <v>2575</v>
      </c>
      <c r="E3" s="9">
        <v>46225</v>
      </c>
      <c r="F3" s="9">
        <v>46250</v>
      </c>
      <c r="G3" s="226" t="s">
        <v>149</v>
      </c>
      <c r="H3" s="226" t="s">
        <v>66</v>
      </c>
      <c r="I3" s="221" t="s">
        <v>1364</v>
      </c>
      <c r="J3" s="396">
        <v>6550</v>
      </c>
      <c r="K3" s="397">
        <v>200</v>
      </c>
      <c r="L3" s="397">
        <v>6750</v>
      </c>
      <c r="M3" s="296">
        <v>0</v>
      </c>
      <c r="N3" s="462"/>
      <c r="O3" s="132" t="s">
        <v>56</v>
      </c>
      <c r="P3" s="133" t="s">
        <v>57</v>
      </c>
    </row>
    <row r="4" spans="1:16">
      <c r="A4" s="395" t="s">
        <v>2576</v>
      </c>
      <c r="B4" s="211" t="s">
        <v>24</v>
      </c>
      <c r="C4" s="8" t="s">
        <v>2574</v>
      </c>
      <c r="D4" s="226" t="s">
        <v>2577</v>
      </c>
      <c r="E4" s="9">
        <v>46231</v>
      </c>
      <c r="F4" s="9">
        <v>46252</v>
      </c>
      <c r="G4" s="226" t="s">
        <v>482</v>
      </c>
      <c r="H4" s="226" t="s">
        <v>66</v>
      </c>
      <c r="I4" s="221" t="s">
        <v>1364</v>
      </c>
      <c r="J4" s="396">
        <v>6230</v>
      </c>
      <c r="K4" s="397">
        <v>200</v>
      </c>
      <c r="L4" s="397">
        <v>6430</v>
      </c>
      <c r="M4" s="296">
        <v>0</v>
      </c>
      <c r="O4" s="150">
        <v>46293</v>
      </c>
      <c r="P4" s="151">
        <v>6750</v>
      </c>
    </row>
    <row r="5" spans="1:16">
      <c r="A5" s="395" t="s">
        <v>2578</v>
      </c>
      <c r="B5" s="211" t="s">
        <v>24</v>
      </c>
      <c r="C5" s="8" t="s">
        <v>2574</v>
      </c>
      <c r="D5" s="226" t="s">
        <v>2579</v>
      </c>
      <c r="E5" s="9">
        <v>46234</v>
      </c>
      <c r="F5" s="9">
        <v>46252</v>
      </c>
      <c r="G5" s="226" t="s">
        <v>2580</v>
      </c>
      <c r="H5" s="226" t="s">
        <v>66</v>
      </c>
      <c r="I5" s="221" t="s">
        <v>1364</v>
      </c>
      <c r="J5" s="396">
        <v>6030</v>
      </c>
      <c r="K5" s="397">
        <v>200</v>
      </c>
      <c r="L5" s="397">
        <v>6230</v>
      </c>
      <c r="M5" s="296">
        <v>0</v>
      </c>
      <c r="N5" s="59"/>
      <c r="O5" s="150">
        <v>46293</v>
      </c>
      <c r="P5" s="151">
        <v>6430</v>
      </c>
    </row>
    <row r="6" spans="1:16">
      <c r="A6" s="395" t="s">
        <v>2581</v>
      </c>
      <c r="B6" s="211" t="s">
        <v>24</v>
      </c>
      <c r="C6" s="8" t="s">
        <v>2574</v>
      </c>
      <c r="D6" s="226" t="s">
        <v>2582</v>
      </c>
      <c r="E6" s="9">
        <v>46246</v>
      </c>
      <c r="F6" s="9">
        <v>46263</v>
      </c>
      <c r="G6" s="226" t="s">
        <v>482</v>
      </c>
      <c r="H6" s="226" t="s">
        <v>85</v>
      </c>
      <c r="I6" s="221" t="s">
        <v>1364</v>
      </c>
      <c r="J6" s="396">
        <v>6380</v>
      </c>
      <c r="K6" s="397">
        <v>200</v>
      </c>
      <c r="L6" s="397">
        <v>6580</v>
      </c>
      <c r="M6" s="296">
        <v>0</v>
      </c>
      <c r="O6" s="150">
        <v>46293</v>
      </c>
      <c r="P6" s="151">
        <v>6230</v>
      </c>
    </row>
    <row r="7" spans="1:16">
      <c r="A7" s="395" t="s">
        <v>2583</v>
      </c>
      <c r="B7" s="211" t="s">
        <v>24</v>
      </c>
      <c r="C7" s="8" t="s">
        <v>2574</v>
      </c>
      <c r="D7" s="226" t="s">
        <v>2584</v>
      </c>
      <c r="E7" s="9">
        <v>46241</v>
      </c>
      <c r="F7" s="9">
        <v>46262</v>
      </c>
      <c r="G7" s="226" t="s">
        <v>89</v>
      </c>
      <c r="H7" s="226" t="s">
        <v>85</v>
      </c>
      <c r="I7" s="221" t="s">
        <v>1364</v>
      </c>
      <c r="J7" s="396">
        <v>6780</v>
      </c>
      <c r="K7" s="397">
        <v>200</v>
      </c>
      <c r="L7" s="397">
        <v>6980</v>
      </c>
      <c r="M7" s="296">
        <v>0</v>
      </c>
      <c r="O7" s="150">
        <v>46295</v>
      </c>
      <c r="P7" s="151">
        <v>20540</v>
      </c>
    </row>
    <row r="8" spans="1:16">
      <c r="A8" s="395" t="s">
        <v>2585</v>
      </c>
      <c r="B8" s="211" t="s">
        <v>24</v>
      </c>
      <c r="C8" s="8" t="s">
        <v>2574</v>
      </c>
      <c r="D8" s="226" t="s">
        <v>2586</v>
      </c>
      <c r="E8" s="9">
        <v>46241</v>
      </c>
      <c r="F8" s="9">
        <v>46262</v>
      </c>
      <c r="G8" s="226" t="s">
        <v>89</v>
      </c>
      <c r="H8" s="226" t="s">
        <v>85</v>
      </c>
      <c r="I8" s="221" t="s">
        <v>1364</v>
      </c>
      <c r="J8" s="396">
        <v>6780</v>
      </c>
      <c r="K8" s="397">
        <v>200</v>
      </c>
      <c r="L8" s="397">
        <v>6980</v>
      </c>
      <c r="M8" s="296">
        <v>0</v>
      </c>
      <c r="N8"/>
      <c r="O8"/>
    </row>
    <row r="9" spans="1:16" ht="24" customHeight="1">
      <c r="A9" s="403" t="s">
        <v>2587</v>
      </c>
      <c r="B9" s="106" t="s">
        <v>24</v>
      </c>
      <c r="C9" s="33" t="s">
        <v>2574</v>
      </c>
      <c r="D9" s="264" t="s">
        <v>2588</v>
      </c>
      <c r="E9" s="34">
        <v>46279</v>
      </c>
      <c r="F9" s="34">
        <v>46296</v>
      </c>
      <c r="G9" s="264" t="s">
        <v>482</v>
      </c>
      <c r="H9" s="264" t="s">
        <v>85</v>
      </c>
      <c r="I9" s="207" t="s">
        <v>1364</v>
      </c>
      <c r="J9" s="404">
        <v>7300</v>
      </c>
      <c r="K9" s="404">
        <v>200</v>
      </c>
      <c r="L9" s="404">
        <f t="shared" ref="L9" si="0">SUM(J9:K9)</f>
        <v>7500</v>
      </c>
      <c r="M9" s="389">
        <f t="shared" ref="M9" si="1">L9</f>
        <v>7500</v>
      </c>
    </row>
    <row r="10" spans="1:16">
      <c r="A10" s="265"/>
      <c r="B10" s="266"/>
      <c r="C10" s="266"/>
      <c r="D10" s="267"/>
      <c r="E10" s="267"/>
      <c r="F10" s="266"/>
      <c r="G10" s="266"/>
      <c r="H10" s="268"/>
      <c r="I10" s="269"/>
      <c r="J10" s="270"/>
      <c r="K10" s="269"/>
      <c r="L10" s="271"/>
      <c r="M10" s="271"/>
    </row>
    <row r="11" spans="1:16">
      <c r="A11" s="265"/>
      <c r="B11" s="266"/>
      <c r="C11" s="266"/>
      <c r="D11" s="267"/>
      <c r="E11" s="267"/>
      <c r="F11" s="266"/>
      <c r="G11" s="266"/>
      <c r="H11" s="268"/>
      <c r="I11" s="269"/>
      <c r="J11" s="270"/>
      <c r="K11" s="269"/>
      <c r="L11" s="271"/>
      <c r="M11" s="271"/>
    </row>
  </sheetData>
  <mergeCells count="1">
    <mergeCell ref="N2:N3"/>
  </mergeCells>
  <conditionalFormatting sqref="A1:A2 A10:A1048576 D1:D1048576">
    <cfRule type="duplicateValues" dxfId="311" priority="19"/>
  </conditionalFormatting>
  <conditionalFormatting sqref="A1:A2 A10:A1048576">
    <cfRule type="duplicateValues" dxfId="310" priority="1"/>
    <cfRule type="duplicateValues" dxfId="309" priority="20"/>
    <cfRule type="duplicateValues" dxfId="308" priority="21"/>
  </conditionalFormatting>
  <conditionalFormatting sqref="A1:A2">
    <cfRule type="duplicateValues" dxfId="307" priority="4"/>
    <cfRule type="duplicateValues" dxfId="306" priority="6"/>
    <cfRule type="duplicateValues" dxfId="305" priority="7"/>
    <cfRule type="duplicateValues" dxfId="304" priority="9"/>
    <cfRule type="duplicateValues" dxfId="303" priority="10"/>
    <cfRule type="duplicateValues" dxfId="302" priority="11"/>
    <cfRule type="duplicateValues" dxfId="301" priority="12"/>
    <cfRule type="duplicateValues" dxfId="300" priority="17"/>
  </conditionalFormatting>
  <conditionalFormatting sqref="A10:A1048576 A1:A2">
    <cfRule type="duplicateValues" dxfId="299" priority="48"/>
    <cfRule type="duplicateValues" dxfId="298" priority="49"/>
    <cfRule type="duplicateValues" dxfId="297" priority="50"/>
    <cfRule type="duplicateValues" dxfId="296" priority="51"/>
    <cfRule type="duplicateValues" dxfId="295" priority="52"/>
    <cfRule type="duplicateValues" dxfId="294" priority="53"/>
    <cfRule type="duplicateValues" dxfId="293" priority="54"/>
  </conditionalFormatting>
  <conditionalFormatting sqref="A10:A1048576">
    <cfRule type="duplicateValues" dxfId="292" priority="55"/>
    <cfRule type="duplicateValues" dxfId="291" priority="56"/>
    <cfRule type="duplicateValues" dxfId="290" priority="57"/>
  </conditionalFormatting>
  <conditionalFormatting sqref="D1:D2">
    <cfRule type="duplicateValues" dxfId="289" priority="5"/>
    <cfRule type="duplicateValues" dxfId="288" priority="8"/>
    <cfRule type="duplicateValues" dxfId="287" priority="13"/>
    <cfRule type="duplicateValues" dxfId="286" priority="14"/>
    <cfRule type="duplicateValues" dxfId="285" priority="15"/>
    <cfRule type="duplicateValues" dxfId="284" priority="16"/>
    <cfRule type="duplicateValues" dxfId="283" priority="18"/>
  </conditionalFormatting>
  <conditionalFormatting sqref="D1:D1048576">
    <cfRule type="duplicateValues" dxfId="282" priority="2"/>
    <cfRule type="duplicateValues" dxfId="281" priority="3"/>
  </conditionalFormatting>
  <conditionalFormatting sqref="D3:D6">
    <cfRule type="duplicateValues" dxfId="280" priority="37"/>
    <cfRule type="duplicateValues" dxfId="279" priority="38"/>
    <cfRule type="duplicateValues" dxfId="278" priority="39"/>
    <cfRule type="duplicateValues" dxfId="277" priority="40"/>
    <cfRule type="duplicateValues" dxfId="276" priority="41"/>
    <cfRule type="duplicateValues" dxfId="275" priority="42"/>
    <cfRule type="duplicateValues" dxfId="274" priority="43"/>
    <cfRule type="duplicateValues" dxfId="273" priority="44"/>
    <cfRule type="duplicateValues" dxfId="272" priority="45"/>
    <cfRule type="duplicateValues" dxfId="271" priority="46"/>
    <cfRule type="duplicateValues" dxfId="270" priority="47"/>
  </conditionalFormatting>
  <conditionalFormatting sqref="D7:D9">
    <cfRule type="duplicateValues" dxfId="269" priority="4572"/>
    <cfRule type="duplicateValues" dxfId="268" priority="4573"/>
    <cfRule type="duplicateValues" dxfId="267" priority="4574"/>
    <cfRule type="duplicateValues" dxfId="266" priority="4575"/>
    <cfRule type="duplicateValues" dxfId="265" priority="4576"/>
    <cfRule type="duplicateValues" dxfId="264" priority="4577"/>
    <cfRule type="duplicateValues" dxfId="263" priority="4578"/>
    <cfRule type="duplicateValues" dxfId="262" priority="4579"/>
    <cfRule type="duplicateValues" dxfId="261" priority="4580"/>
    <cfRule type="duplicateValues" dxfId="260" priority="4581"/>
    <cfRule type="duplicateValues" dxfId="259" priority="4582"/>
  </conditionalFormatting>
  <conditionalFormatting sqref="D10:D1048576 D1:D2">
    <cfRule type="duplicateValues" dxfId="258" priority="58"/>
    <cfRule type="duplicateValues" dxfId="257" priority="59"/>
    <cfRule type="duplicateValues" dxfId="256" priority="60"/>
    <cfRule type="duplicateValues" dxfId="255" priority="61"/>
    <cfRule type="duplicateValues" dxfId="254" priority="62"/>
    <cfRule type="duplicateValues" dxfId="253" priority="63"/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68573-6503-4004-B8CA-9144397D946E}">
  <dimension ref="A1:P17"/>
  <sheetViews>
    <sheetView workbookViewId="0">
      <selection activeCell="B4" sqref="B4"/>
    </sheetView>
  </sheetViews>
  <sheetFormatPr defaultColWidth="11.42578125" defaultRowHeight="14.45"/>
  <cols>
    <col min="1" max="1" width="18.140625" style="90" customWidth="1"/>
    <col min="2" max="2" width="19.7109375" style="91" bestFit="1" customWidth="1"/>
    <col min="3" max="3" width="15.140625" style="57" bestFit="1" customWidth="1"/>
    <col min="4" max="4" width="13.7109375" style="92" bestFit="1" customWidth="1"/>
    <col min="5" max="5" width="7.140625" style="92" customWidth="1"/>
    <col min="6" max="6" width="7.42578125" style="57" customWidth="1"/>
    <col min="7" max="7" width="12.7109375" style="57" bestFit="1" customWidth="1"/>
    <col min="8" max="8" width="12.7109375" style="58" bestFit="1" customWidth="1"/>
    <col min="9" max="9" width="18.7109375" style="131" customWidth="1"/>
    <col min="10" max="10" width="15.7109375" style="52" bestFit="1" customWidth="1"/>
    <col min="11" max="11" width="10.7109375" style="157" customWidth="1"/>
    <col min="12" max="13" width="8.7109375" customWidth="1"/>
    <col min="14" max="14" width="16.7109375" style="57" bestFit="1" customWidth="1"/>
    <col min="15" max="15" width="11.42578125" style="59"/>
  </cols>
  <sheetData>
    <row r="1" spans="1:16" ht="15" customHeight="1">
      <c r="C1" s="91"/>
      <c r="D1" s="57"/>
      <c r="F1" s="92"/>
      <c r="H1" s="57"/>
      <c r="I1" s="98"/>
      <c r="J1" s="130"/>
      <c r="K1" s="156"/>
      <c r="L1" s="100"/>
      <c r="M1" s="138"/>
      <c r="N1" s="115">
        <f>SUM(M3:M116)</f>
        <v>15700</v>
      </c>
      <c r="O1" s="57"/>
      <c r="P1" s="59"/>
    </row>
    <row r="2" spans="1:16" ht="24.4" customHeight="1">
      <c r="A2" s="39" t="s">
        <v>45</v>
      </c>
      <c r="B2" s="39" t="s">
        <v>491</v>
      </c>
      <c r="C2" s="39" t="s">
        <v>47</v>
      </c>
      <c r="D2" s="39" t="s">
        <v>49</v>
      </c>
      <c r="E2" s="60" t="s">
        <v>50</v>
      </c>
      <c r="F2" s="60" t="s">
        <v>51</v>
      </c>
      <c r="G2" s="39" t="s">
        <v>52</v>
      </c>
      <c r="H2" s="40" t="s">
        <v>53</v>
      </c>
      <c r="I2" s="40" t="s">
        <v>54</v>
      </c>
      <c r="J2" s="101" t="s">
        <v>58</v>
      </c>
      <c r="K2" s="101" t="s">
        <v>766</v>
      </c>
      <c r="L2" s="137" t="s">
        <v>55</v>
      </c>
      <c r="M2" s="204"/>
      <c r="N2" s="462"/>
      <c r="O2" s="57"/>
      <c r="P2" s="59"/>
    </row>
    <row r="3" spans="1:16" ht="54.6" customHeight="1">
      <c r="A3" s="310" t="s">
        <v>2589</v>
      </c>
      <c r="B3" s="106" t="s">
        <v>2590</v>
      </c>
      <c r="C3" s="260" t="s">
        <v>2492</v>
      </c>
      <c r="D3" s="32" t="s">
        <v>2591</v>
      </c>
      <c r="E3" s="34">
        <v>46268</v>
      </c>
      <c r="F3" s="34">
        <v>46305</v>
      </c>
      <c r="G3" s="32" t="s">
        <v>84</v>
      </c>
      <c r="H3" s="32" t="s">
        <v>645</v>
      </c>
      <c r="I3" s="112" t="s">
        <v>105</v>
      </c>
      <c r="J3" s="81">
        <v>7950</v>
      </c>
      <c r="K3" s="143">
        <v>0</v>
      </c>
      <c r="L3" s="198">
        <f t="shared" ref="L3" si="0">SUM(J3:K3)</f>
        <v>7950</v>
      </c>
      <c r="M3" s="198">
        <f>L3</f>
        <v>7950</v>
      </c>
      <c r="N3" s="462"/>
      <c r="O3" s="132" t="s">
        <v>56</v>
      </c>
      <c r="P3" s="133" t="s">
        <v>57</v>
      </c>
    </row>
    <row r="4" spans="1:16" ht="37.9" customHeight="1">
      <c r="A4" s="448" t="s">
        <v>2592</v>
      </c>
      <c r="B4" s="423" t="s">
        <v>1258</v>
      </c>
      <c r="C4" s="449" t="s">
        <v>2492</v>
      </c>
      <c r="D4" s="425" t="s">
        <v>2593</v>
      </c>
      <c r="E4" s="426">
        <v>46284</v>
      </c>
      <c r="F4" s="426">
        <v>46316</v>
      </c>
      <c r="G4" s="425" t="s">
        <v>100</v>
      </c>
      <c r="H4" s="425" t="s">
        <v>316</v>
      </c>
      <c r="I4" s="450" t="s">
        <v>105</v>
      </c>
      <c r="J4" s="432">
        <v>7750</v>
      </c>
      <c r="K4" s="451">
        <v>0</v>
      </c>
      <c r="L4" s="452">
        <f>SUM(J4:K4)</f>
        <v>7750</v>
      </c>
      <c r="M4" s="452">
        <f>L4</f>
        <v>7750</v>
      </c>
      <c r="O4" s="150"/>
      <c r="P4" s="151"/>
    </row>
    <row r="5" spans="1:16">
      <c r="N5" s="59"/>
      <c r="O5" s="150"/>
      <c r="P5" s="151"/>
    </row>
    <row r="17" spans="1:15" s="131" customFormat="1">
      <c r="A17" s="90"/>
      <c r="B17" s="91"/>
      <c r="C17" s="57"/>
      <c r="D17" s="92"/>
      <c r="E17" s="92"/>
      <c r="F17" s="57"/>
      <c r="G17" s="393"/>
      <c r="H17" s="394"/>
      <c r="J17" s="52"/>
      <c r="K17" s="157"/>
      <c r="L17"/>
      <c r="M17"/>
      <c r="N17" s="57"/>
      <c r="O17" s="59"/>
    </row>
  </sheetData>
  <mergeCells count="1">
    <mergeCell ref="N2:N3"/>
  </mergeCells>
  <conditionalFormatting sqref="A1:A2">
    <cfRule type="duplicateValues" dxfId="252" priority="25"/>
    <cfRule type="duplicateValues" dxfId="251" priority="27"/>
    <cfRule type="duplicateValues" dxfId="250" priority="28"/>
    <cfRule type="duplicateValues" dxfId="249" priority="30"/>
    <cfRule type="duplicateValues" dxfId="248" priority="31"/>
    <cfRule type="duplicateValues" dxfId="247" priority="32"/>
    <cfRule type="duplicateValues" dxfId="246" priority="33"/>
    <cfRule type="duplicateValues" dxfId="245" priority="38"/>
  </conditionalFormatting>
  <conditionalFormatting sqref="A1:A1048576">
    <cfRule type="duplicateValues" dxfId="244" priority="21"/>
    <cfRule type="duplicateValues" dxfId="243" priority="22"/>
    <cfRule type="duplicateValues" dxfId="242" priority="48"/>
    <cfRule type="duplicateValues" dxfId="241" priority="49"/>
  </conditionalFormatting>
  <conditionalFormatting sqref="A3:A4">
    <cfRule type="duplicateValues" dxfId="240" priority="59"/>
    <cfRule type="duplicateValues" dxfId="239" priority="60"/>
    <cfRule type="duplicateValues" dxfId="238" priority="61"/>
    <cfRule type="duplicateValues" dxfId="237" priority="62"/>
    <cfRule type="duplicateValues" dxfId="236" priority="63"/>
    <cfRule type="duplicateValues" dxfId="235" priority="64"/>
    <cfRule type="duplicateValues" dxfId="234" priority="65"/>
    <cfRule type="duplicateValues" dxfId="233" priority="66"/>
    <cfRule type="duplicateValues" dxfId="232" priority="67"/>
    <cfRule type="duplicateValues" dxfId="231" priority="68"/>
    <cfRule type="duplicateValues" dxfId="230" priority="69"/>
    <cfRule type="duplicateValues" dxfId="229" priority="70"/>
    <cfRule type="duplicateValues" dxfId="228" priority="71"/>
    <cfRule type="duplicateValues" dxfId="227" priority="72"/>
    <cfRule type="duplicateValues" dxfId="226" priority="73"/>
  </conditionalFormatting>
  <conditionalFormatting sqref="A5:A1048576 A1:A2">
    <cfRule type="duplicateValues" dxfId="225" priority="41"/>
    <cfRule type="duplicateValues" dxfId="224" priority="42"/>
    <cfRule type="duplicateValues" dxfId="223" priority="43"/>
    <cfRule type="duplicateValues" dxfId="222" priority="44"/>
    <cfRule type="duplicateValues" dxfId="221" priority="45"/>
    <cfRule type="duplicateValues" dxfId="220" priority="46"/>
    <cfRule type="duplicateValues" dxfId="219" priority="47"/>
  </conditionalFormatting>
  <conditionalFormatting sqref="A5:A1048576">
    <cfRule type="duplicateValues" dxfId="218" priority="50"/>
    <cfRule type="duplicateValues" dxfId="217" priority="51"/>
    <cfRule type="duplicateValues" dxfId="216" priority="52"/>
  </conditionalFormatting>
  <conditionalFormatting sqref="D1:D2">
    <cfRule type="duplicateValues" dxfId="215" priority="26"/>
    <cfRule type="duplicateValues" dxfId="214" priority="29"/>
    <cfRule type="duplicateValues" dxfId="213" priority="34"/>
    <cfRule type="duplicateValues" dxfId="212" priority="35"/>
    <cfRule type="duplicateValues" dxfId="211" priority="36"/>
    <cfRule type="duplicateValues" dxfId="210" priority="37"/>
    <cfRule type="duplicateValues" dxfId="209" priority="39"/>
  </conditionalFormatting>
  <conditionalFormatting sqref="D1:D1048576 A1:A1048576">
    <cfRule type="duplicateValues" dxfId="208" priority="40"/>
  </conditionalFormatting>
  <conditionalFormatting sqref="D1:D1048576">
    <cfRule type="duplicateValues" dxfId="207" priority="23"/>
    <cfRule type="duplicateValues" dxfId="206" priority="24"/>
  </conditionalFormatting>
  <conditionalFormatting sqref="D3:D4">
    <cfRule type="duplicateValues" dxfId="205" priority="74"/>
    <cfRule type="duplicateValues" dxfId="204" priority="75"/>
    <cfRule type="duplicateValues" dxfId="203" priority="76"/>
    <cfRule type="duplicateValues" dxfId="202" priority="77"/>
    <cfRule type="duplicateValues" dxfId="201" priority="78"/>
    <cfRule type="duplicateValues" dxfId="200" priority="79"/>
    <cfRule type="duplicateValues" dxfId="199" priority="80"/>
    <cfRule type="duplicateValues" dxfId="198" priority="81"/>
    <cfRule type="duplicateValues" dxfId="197" priority="82"/>
    <cfRule type="duplicateValues" dxfId="196" priority="83"/>
    <cfRule type="duplicateValues" dxfId="195" priority="84"/>
  </conditionalFormatting>
  <conditionalFormatting sqref="D5:D1048576 D1:D2">
    <cfRule type="duplicateValues" dxfId="194" priority="53"/>
    <cfRule type="duplicateValues" dxfId="193" priority="54"/>
    <cfRule type="duplicateValues" dxfId="192" priority="55"/>
    <cfRule type="duplicateValues" dxfId="191" priority="56"/>
    <cfRule type="duplicateValues" dxfId="190" priority="57"/>
    <cfRule type="duplicateValues" dxfId="189" priority="58"/>
  </conditionalFormatting>
  <conditionalFormatting sqref="G17">
    <cfRule type="duplicateValues" dxfId="188" priority="1"/>
    <cfRule type="duplicateValues" dxfId="187" priority="2"/>
    <cfRule type="duplicateValues" dxfId="186" priority="3"/>
    <cfRule type="duplicateValues" dxfId="185" priority="4"/>
    <cfRule type="duplicateValues" dxfId="184" priority="5"/>
    <cfRule type="duplicateValues" dxfId="183" priority="6"/>
    <cfRule type="duplicateValues" dxfId="182" priority="7"/>
    <cfRule type="duplicateValues" dxfId="181" priority="8"/>
    <cfRule type="duplicateValues" dxfId="180" priority="9"/>
    <cfRule type="duplicateValues" dxfId="179" priority="10"/>
    <cfRule type="duplicateValues" dxfId="178" priority="11"/>
    <cfRule type="duplicateValues" dxfId="177" priority="12"/>
    <cfRule type="duplicateValues" dxfId="176" priority="13"/>
    <cfRule type="duplicateValues" dxfId="175" priority="14"/>
    <cfRule type="duplicateValues" dxfId="174" priority="15"/>
    <cfRule type="duplicateValues" dxfId="173" priority="16"/>
    <cfRule type="duplicateValues" dxfId="172" priority="17"/>
    <cfRule type="duplicateValues" dxfId="171" priority="18"/>
    <cfRule type="duplicateValues" dxfId="170" priority="19"/>
    <cfRule type="duplicateValues" dxfId="169" priority="20"/>
  </conditionalFormatting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41769-7B2F-462C-8C4C-E85548D48660}">
  <dimension ref="A1:P17"/>
  <sheetViews>
    <sheetView workbookViewId="0">
      <selection activeCell="Q33" sqref="Q33"/>
    </sheetView>
  </sheetViews>
  <sheetFormatPr defaultColWidth="11.42578125" defaultRowHeight="14.45"/>
  <cols>
    <col min="1" max="1" width="18.140625" style="90" customWidth="1"/>
    <col min="2" max="2" width="19.7109375" style="91" bestFit="1" customWidth="1"/>
    <col min="3" max="3" width="15.140625" style="57" bestFit="1" customWidth="1"/>
    <col min="4" max="4" width="13.7109375" style="92" bestFit="1" customWidth="1"/>
    <col min="5" max="5" width="7.140625" style="92" customWidth="1"/>
    <col min="6" max="6" width="7.42578125" style="57" customWidth="1"/>
    <col min="7" max="7" width="12.7109375" style="57" bestFit="1" customWidth="1"/>
    <col min="8" max="8" width="12.7109375" style="58" bestFit="1" customWidth="1"/>
    <col min="9" max="9" width="18.7109375" style="131" customWidth="1"/>
    <col min="10" max="10" width="15.7109375" style="52" bestFit="1" customWidth="1"/>
    <col min="11" max="11" width="10.7109375" style="157" customWidth="1"/>
    <col min="12" max="13" width="8.7109375" customWidth="1"/>
    <col min="14" max="14" width="16.7109375" style="57" bestFit="1" customWidth="1"/>
    <col min="15" max="15" width="11.42578125" style="59"/>
  </cols>
  <sheetData>
    <row r="1" spans="1:16" ht="15" customHeight="1">
      <c r="C1" s="91"/>
      <c r="D1" s="57"/>
      <c r="F1" s="92"/>
      <c r="H1" s="57"/>
      <c r="I1" s="98"/>
      <c r="J1" s="130"/>
      <c r="K1" s="156"/>
      <c r="L1" s="100"/>
      <c r="M1" s="138"/>
      <c r="N1" s="115">
        <f>SUM(M3:M115)</f>
        <v>0</v>
      </c>
      <c r="O1" s="57"/>
      <c r="P1" s="59"/>
    </row>
    <row r="2" spans="1:16" ht="24.4" customHeight="1">
      <c r="A2" s="39" t="s">
        <v>45</v>
      </c>
      <c r="B2" s="39" t="s">
        <v>491</v>
      </c>
      <c r="C2" s="39" t="s">
        <v>47</v>
      </c>
      <c r="D2" s="39" t="s">
        <v>49</v>
      </c>
      <c r="E2" s="60" t="s">
        <v>50</v>
      </c>
      <c r="F2" s="60" t="s">
        <v>51</v>
      </c>
      <c r="G2" s="39" t="s">
        <v>52</v>
      </c>
      <c r="H2" s="40" t="s">
        <v>53</v>
      </c>
      <c r="I2" s="40" t="s">
        <v>54</v>
      </c>
      <c r="J2" s="101" t="s">
        <v>58</v>
      </c>
      <c r="K2" s="101" t="s">
        <v>766</v>
      </c>
      <c r="L2" s="137" t="s">
        <v>55</v>
      </c>
      <c r="M2" s="204"/>
      <c r="N2" s="462"/>
      <c r="O2" s="57"/>
      <c r="P2" s="59"/>
    </row>
    <row r="3" spans="1:16" ht="54.6" customHeight="1">
      <c r="A3" s="448" t="s">
        <v>2594</v>
      </c>
      <c r="B3" s="423" t="s">
        <v>2595</v>
      </c>
      <c r="C3" s="449" t="s">
        <v>2596</v>
      </c>
      <c r="D3" s="425" t="s">
        <v>2597</v>
      </c>
      <c r="E3" s="426">
        <v>46280</v>
      </c>
      <c r="F3" s="426">
        <v>46324</v>
      </c>
      <c r="G3" s="425" t="s">
        <v>84</v>
      </c>
      <c r="H3" s="425" t="s">
        <v>645</v>
      </c>
      <c r="I3" s="450" t="s">
        <v>105</v>
      </c>
      <c r="J3" s="432">
        <v>0</v>
      </c>
      <c r="K3" s="451">
        <v>0</v>
      </c>
      <c r="L3" s="452">
        <f>SUM(J3:K3)</f>
        <v>0</v>
      </c>
      <c r="M3" s="452">
        <f>L3</f>
        <v>0</v>
      </c>
      <c r="N3" s="462"/>
      <c r="O3" s="132" t="s">
        <v>56</v>
      </c>
      <c r="P3" s="133" t="s">
        <v>57</v>
      </c>
    </row>
    <row r="4" spans="1:16" ht="37.9" customHeight="1">
      <c r="O4" s="150"/>
      <c r="P4" s="151"/>
    </row>
    <row r="5" spans="1:16">
      <c r="N5" s="59"/>
      <c r="O5" s="150"/>
      <c r="P5" s="151"/>
    </row>
    <row r="16" spans="1:16">
      <c r="G16" s="393"/>
      <c r="H16" s="394"/>
    </row>
    <row r="17" spans="1:15" s="131" customFormat="1">
      <c r="A17" s="90"/>
      <c r="B17" s="91"/>
      <c r="C17" s="57"/>
      <c r="D17" s="92"/>
      <c r="E17" s="92"/>
      <c r="F17" s="57"/>
      <c r="G17" s="57"/>
      <c r="H17" s="58"/>
      <c r="J17" s="52"/>
      <c r="K17" s="157"/>
      <c r="L17"/>
      <c r="M17"/>
      <c r="N17" s="57"/>
      <c r="O17" s="59"/>
    </row>
  </sheetData>
  <mergeCells count="1">
    <mergeCell ref="N2:N3"/>
  </mergeCells>
  <conditionalFormatting sqref="A1:A2">
    <cfRule type="duplicateValues" dxfId="168" priority="25"/>
    <cfRule type="duplicateValues" dxfId="167" priority="27"/>
    <cfRule type="duplicateValues" dxfId="166" priority="28"/>
    <cfRule type="duplicateValues" dxfId="165" priority="30"/>
    <cfRule type="duplicateValues" dxfId="164" priority="31"/>
    <cfRule type="duplicateValues" dxfId="163" priority="32"/>
    <cfRule type="duplicateValues" dxfId="162" priority="33"/>
    <cfRule type="duplicateValues" dxfId="161" priority="38"/>
  </conditionalFormatting>
  <conditionalFormatting sqref="A1:A1048576">
    <cfRule type="duplicateValues" dxfId="160" priority="21"/>
    <cfRule type="duplicateValues" dxfId="159" priority="22"/>
    <cfRule type="duplicateValues" dxfId="158" priority="48"/>
    <cfRule type="duplicateValues" dxfId="157" priority="49"/>
  </conditionalFormatting>
  <conditionalFormatting sqref="A3">
    <cfRule type="duplicateValues" dxfId="156" priority="4892"/>
    <cfRule type="duplicateValues" dxfId="155" priority="4893"/>
    <cfRule type="duplicateValues" dxfId="154" priority="4894"/>
    <cfRule type="duplicateValues" dxfId="153" priority="4895"/>
    <cfRule type="duplicateValues" dxfId="152" priority="4896"/>
    <cfRule type="duplicateValues" dxfId="151" priority="4897"/>
    <cfRule type="duplicateValues" dxfId="150" priority="4898"/>
    <cfRule type="duplicateValues" dxfId="149" priority="4899"/>
    <cfRule type="duplicateValues" dxfId="148" priority="4900"/>
    <cfRule type="duplicateValues" dxfId="147" priority="4901"/>
    <cfRule type="duplicateValues" dxfId="146" priority="4902"/>
    <cfRule type="duplicateValues" dxfId="145" priority="4903"/>
    <cfRule type="duplicateValues" dxfId="144" priority="4904"/>
    <cfRule type="duplicateValues" dxfId="143" priority="4905"/>
    <cfRule type="duplicateValues" dxfId="142" priority="4906"/>
  </conditionalFormatting>
  <conditionalFormatting sqref="A4:A1048576 A1:A2">
    <cfRule type="duplicateValues" dxfId="141" priority="41"/>
    <cfRule type="duplicateValues" dxfId="140" priority="42"/>
    <cfRule type="duplicateValues" dxfId="139" priority="43"/>
    <cfRule type="duplicateValues" dxfId="138" priority="44"/>
    <cfRule type="duplicateValues" dxfId="137" priority="45"/>
    <cfRule type="duplicateValues" dxfId="136" priority="46"/>
    <cfRule type="duplicateValues" dxfId="135" priority="47"/>
  </conditionalFormatting>
  <conditionalFormatting sqref="A4:A1048576">
    <cfRule type="duplicateValues" dxfId="134" priority="50"/>
    <cfRule type="duplicateValues" dxfId="133" priority="51"/>
    <cfRule type="duplicateValues" dxfId="132" priority="52"/>
  </conditionalFormatting>
  <conditionalFormatting sqref="D1:D2">
    <cfRule type="duplicateValues" dxfId="131" priority="26"/>
    <cfRule type="duplicateValues" dxfId="130" priority="29"/>
    <cfRule type="duplicateValues" dxfId="129" priority="34"/>
    <cfRule type="duplicateValues" dxfId="128" priority="35"/>
    <cfRule type="duplicateValues" dxfId="127" priority="36"/>
    <cfRule type="duplicateValues" dxfId="126" priority="37"/>
    <cfRule type="duplicateValues" dxfId="125" priority="39"/>
  </conditionalFormatting>
  <conditionalFormatting sqref="D1:D1048576 A1:A1048576">
    <cfRule type="duplicateValues" dxfId="124" priority="40"/>
  </conditionalFormatting>
  <conditionalFormatting sqref="D1:D1048576">
    <cfRule type="duplicateValues" dxfId="123" priority="23"/>
    <cfRule type="duplicateValues" dxfId="122" priority="24"/>
  </conditionalFormatting>
  <conditionalFormatting sqref="D3">
    <cfRule type="duplicateValues" dxfId="121" priority="4926"/>
    <cfRule type="duplicateValues" dxfId="120" priority="4927"/>
    <cfRule type="duplicateValues" dxfId="119" priority="4928"/>
    <cfRule type="duplicateValues" dxfId="118" priority="4929"/>
    <cfRule type="duplicateValues" dxfId="117" priority="4930"/>
    <cfRule type="duplicateValues" dxfId="116" priority="4931"/>
    <cfRule type="duplicateValues" dxfId="115" priority="4932"/>
    <cfRule type="duplicateValues" dxfId="114" priority="4933"/>
    <cfRule type="duplicateValues" dxfId="113" priority="4934"/>
    <cfRule type="duplicateValues" dxfId="112" priority="4935"/>
    <cfRule type="duplicateValues" dxfId="111" priority="4936"/>
  </conditionalFormatting>
  <conditionalFormatting sqref="D4:D1048576 D1:D2">
    <cfRule type="duplicateValues" dxfId="110" priority="53"/>
    <cfRule type="duplicateValues" dxfId="109" priority="54"/>
    <cfRule type="duplicateValues" dxfId="108" priority="55"/>
    <cfRule type="duplicateValues" dxfId="107" priority="56"/>
    <cfRule type="duplicateValues" dxfId="106" priority="57"/>
    <cfRule type="duplicateValues" dxfId="105" priority="58"/>
  </conditionalFormatting>
  <conditionalFormatting sqref="G16">
    <cfRule type="duplicateValues" dxfId="104" priority="1"/>
    <cfRule type="duplicateValues" dxfId="103" priority="2"/>
    <cfRule type="duplicateValues" dxfId="102" priority="3"/>
    <cfRule type="duplicateValues" dxfId="101" priority="4"/>
    <cfRule type="duplicateValues" dxfId="100" priority="5"/>
    <cfRule type="duplicateValues" dxfId="99" priority="6"/>
    <cfRule type="duplicateValues" dxfId="98" priority="7"/>
    <cfRule type="duplicateValues" dxfId="97" priority="8"/>
    <cfRule type="duplicateValues" dxfId="96" priority="9"/>
    <cfRule type="duplicateValues" dxfId="95" priority="10"/>
    <cfRule type="duplicateValues" dxfId="94" priority="11"/>
    <cfRule type="duplicateValues" dxfId="93" priority="12"/>
    <cfRule type="duplicateValues" dxfId="92" priority="13"/>
    <cfRule type="duplicateValues" dxfId="91" priority="14"/>
    <cfRule type="duplicateValues" dxfId="90" priority="15"/>
    <cfRule type="duplicateValues" dxfId="89" priority="16"/>
    <cfRule type="duplicateValues" dxfId="88" priority="17"/>
    <cfRule type="duplicateValues" dxfId="87" priority="18"/>
    <cfRule type="duplicateValues" dxfId="86" priority="19"/>
    <cfRule type="duplicateValues" dxfId="85" priority="20"/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92F65-C85D-40AD-AFF9-FC39CD8269DD}">
  <dimension ref="A1:P17"/>
  <sheetViews>
    <sheetView workbookViewId="0">
      <selection activeCell="A3" sqref="A3"/>
    </sheetView>
  </sheetViews>
  <sheetFormatPr defaultColWidth="11.42578125" defaultRowHeight="14.45"/>
  <cols>
    <col min="1" max="1" width="18.140625" style="90" customWidth="1"/>
    <col min="2" max="2" width="19.7109375" style="91" bestFit="1" customWidth="1"/>
    <col min="3" max="3" width="15.140625" style="57" bestFit="1" customWidth="1"/>
    <col min="4" max="4" width="13.7109375" style="92" bestFit="1" customWidth="1"/>
    <col min="5" max="5" width="7.140625" style="92" customWidth="1"/>
    <col min="6" max="6" width="7.42578125" style="57" customWidth="1"/>
    <col min="7" max="7" width="12.7109375" style="57" bestFit="1" customWidth="1"/>
    <col min="8" max="8" width="12.7109375" style="58" bestFit="1" customWidth="1"/>
    <col min="9" max="9" width="18.7109375" style="131" customWidth="1"/>
    <col min="10" max="10" width="15.7109375" style="52" bestFit="1" customWidth="1"/>
    <col min="11" max="11" width="10.7109375" style="157" customWidth="1"/>
    <col min="12" max="13" width="8.7109375" customWidth="1"/>
    <col min="14" max="14" width="16.7109375" style="57" bestFit="1" customWidth="1"/>
    <col min="15" max="15" width="11.42578125" style="59"/>
  </cols>
  <sheetData>
    <row r="1" spans="1:16" ht="15" customHeight="1">
      <c r="C1" s="91"/>
      <c r="D1" s="57"/>
      <c r="F1" s="92"/>
      <c r="H1" s="57"/>
      <c r="I1" s="98"/>
      <c r="J1" s="130"/>
      <c r="K1" s="156"/>
      <c r="L1" s="100"/>
      <c r="M1" s="138"/>
      <c r="N1" s="115">
        <f>SUM(M3:M116)</f>
        <v>37250</v>
      </c>
      <c r="O1" s="57"/>
      <c r="P1" s="59"/>
    </row>
    <row r="2" spans="1:16" ht="24.4" customHeight="1">
      <c r="A2" s="39" t="s">
        <v>45</v>
      </c>
      <c r="B2" s="39" t="s">
        <v>491</v>
      </c>
      <c r="C2" s="39" t="s">
        <v>47</v>
      </c>
      <c r="D2" s="39" t="s">
        <v>49</v>
      </c>
      <c r="E2" s="60" t="s">
        <v>50</v>
      </c>
      <c r="F2" s="60" t="s">
        <v>51</v>
      </c>
      <c r="G2" s="39" t="s">
        <v>52</v>
      </c>
      <c r="H2" s="40" t="s">
        <v>53</v>
      </c>
      <c r="I2" s="40" t="s">
        <v>54</v>
      </c>
      <c r="J2" s="101" t="s">
        <v>58</v>
      </c>
      <c r="K2" s="101" t="s">
        <v>766</v>
      </c>
      <c r="L2" s="137" t="s">
        <v>55</v>
      </c>
      <c r="M2" s="204"/>
      <c r="N2" s="462"/>
      <c r="O2" s="57"/>
      <c r="P2" s="59"/>
    </row>
    <row r="3" spans="1:16" ht="28.15" customHeight="1">
      <c r="A3" s="310" t="s">
        <v>2598</v>
      </c>
      <c r="B3" s="106" t="s">
        <v>2599</v>
      </c>
      <c r="C3" s="260" t="s">
        <v>2600</v>
      </c>
      <c r="D3" s="32" t="s">
        <v>2601</v>
      </c>
      <c r="E3" s="34">
        <v>46278</v>
      </c>
      <c r="F3" s="34">
        <v>46310</v>
      </c>
      <c r="G3" s="32" t="s">
        <v>482</v>
      </c>
      <c r="H3" s="32" t="s">
        <v>85</v>
      </c>
      <c r="I3" s="112" t="s">
        <v>495</v>
      </c>
      <c r="J3" s="81">
        <v>7350</v>
      </c>
      <c r="K3" s="143">
        <v>100</v>
      </c>
      <c r="L3" s="198">
        <f t="shared" ref="L3" si="0">SUM(J3:K3)</f>
        <v>7450</v>
      </c>
      <c r="M3" s="198">
        <f>L3</f>
        <v>7450</v>
      </c>
      <c r="N3" s="462"/>
      <c r="O3" s="132" t="s">
        <v>56</v>
      </c>
      <c r="P3" s="133" t="s">
        <v>57</v>
      </c>
    </row>
    <row r="4" spans="1:16" ht="28.15" customHeight="1">
      <c r="A4" s="310" t="s">
        <v>2602</v>
      </c>
      <c r="B4" s="106" t="s">
        <v>2599</v>
      </c>
      <c r="C4" s="260" t="s">
        <v>2600</v>
      </c>
      <c r="D4" s="32" t="s">
        <v>2603</v>
      </c>
      <c r="E4" s="34">
        <v>46278</v>
      </c>
      <c r="F4" s="34">
        <v>46310</v>
      </c>
      <c r="G4" s="32" t="s">
        <v>482</v>
      </c>
      <c r="H4" s="32" t="s">
        <v>85</v>
      </c>
      <c r="I4" s="112" t="s">
        <v>495</v>
      </c>
      <c r="J4" s="81">
        <v>7350</v>
      </c>
      <c r="K4" s="143">
        <v>100</v>
      </c>
      <c r="L4" s="198">
        <f t="shared" ref="L4:L7" si="1">SUM(J4:K4)</f>
        <v>7450</v>
      </c>
      <c r="M4" s="198">
        <f t="shared" ref="M4:M7" si="2">L4</f>
        <v>7450</v>
      </c>
      <c r="O4" s="150"/>
      <c r="P4" s="151"/>
    </row>
    <row r="5" spans="1:16" ht="28.15" customHeight="1">
      <c r="A5" s="310" t="s">
        <v>2604</v>
      </c>
      <c r="B5" s="106" t="s">
        <v>2599</v>
      </c>
      <c r="C5" s="260" t="s">
        <v>2600</v>
      </c>
      <c r="D5" s="32" t="s">
        <v>2605</v>
      </c>
      <c r="E5" s="34">
        <v>46278</v>
      </c>
      <c r="F5" s="34">
        <v>46310</v>
      </c>
      <c r="G5" s="32" t="s">
        <v>482</v>
      </c>
      <c r="H5" s="32" t="s">
        <v>85</v>
      </c>
      <c r="I5" s="112" t="s">
        <v>495</v>
      </c>
      <c r="J5" s="81">
        <v>7350</v>
      </c>
      <c r="K5" s="143">
        <v>100</v>
      </c>
      <c r="L5" s="198">
        <f t="shared" si="1"/>
        <v>7450</v>
      </c>
      <c r="M5" s="198">
        <f t="shared" si="2"/>
        <v>7450</v>
      </c>
      <c r="N5" s="59"/>
      <c r="O5" s="150"/>
      <c r="P5" s="151"/>
    </row>
    <row r="6" spans="1:16" ht="28.15" customHeight="1">
      <c r="A6" s="310" t="s">
        <v>2606</v>
      </c>
      <c r="B6" s="106" t="s">
        <v>2599</v>
      </c>
      <c r="C6" s="260" t="s">
        <v>2600</v>
      </c>
      <c r="D6" s="32" t="s">
        <v>2607</v>
      </c>
      <c r="E6" s="34">
        <v>46278</v>
      </c>
      <c r="F6" s="34">
        <v>46310</v>
      </c>
      <c r="G6" s="32" t="s">
        <v>482</v>
      </c>
      <c r="H6" s="32" t="s">
        <v>85</v>
      </c>
      <c r="I6" s="112" t="s">
        <v>495</v>
      </c>
      <c r="J6" s="81">
        <v>7350</v>
      </c>
      <c r="K6" s="143">
        <v>100</v>
      </c>
      <c r="L6" s="198">
        <f t="shared" si="1"/>
        <v>7450</v>
      </c>
      <c r="M6" s="198">
        <f t="shared" si="2"/>
        <v>7450</v>
      </c>
    </row>
    <row r="7" spans="1:16" ht="28.15" customHeight="1">
      <c r="A7" s="310" t="s">
        <v>2608</v>
      </c>
      <c r="B7" s="106" t="s">
        <v>2599</v>
      </c>
      <c r="C7" s="260" t="s">
        <v>2600</v>
      </c>
      <c r="D7" s="32" t="s">
        <v>2609</v>
      </c>
      <c r="E7" s="34">
        <v>46278</v>
      </c>
      <c r="F7" s="34">
        <v>46310</v>
      </c>
      <c r="G7" s="32" t="s">
        <v>482</v>
      </c>
      <c r="H7" s="32" t="s">
        <v>85</v>
      </c>
      <c r="I7" s="112" t="s">
        <v>495</v>
      </c>
      <c r="J7" s="81">
        <v>7350</v>
      </c>
      <c r="K7" s="143">
        <v>100</v>
      </c>
      <c r="L7" s="198">
        <f t="shared" si="1"/>
        <v>7450</v>
      </c>
      <c r="M7" s="198">
        <f t="shared" si="2"/>
        <v>7450</v>
      </c>
    </row>
    <row r="17" spans="1:15" s="131" customFormat="1">
      <c r="A17" s="90"/>
      <c r="B17" s="91"/>
      <c r="C17" s="57"/>
      <c r="D17" s="92"/>
      <c r="E17" s="92"/>
      <c r="F17" s="57"/>
      <c r="G17" s="393"/>
      <c r="H17" s="394"/>
      <c r="J17" s="52"/>
      <c r="K17" s="157"/>
      <c r="L17"/>
      <c r="M17"/>
      <c r="N17" s="57"/>
      <c r="O17" s="59"/>
    </row>
  </sheetData>
  <mergeCells count="1">
    <mergeCell ref="N2:N3"/>
  </mergeCells>
  <conditionalFormatting sqref="A1:A2">
    <cfRule type="duplicateValues" dxfId="84" priority="25"/>
    <cfRule type="duplicateValues" dxfId="83" priority="27"/>
    <cfRule type="duplicateValues" dxfId="82" priority="28"/>
    <cfRule type="duplicateValues" dxfId="81" priority="30"/>
    <cfRule type="duplicateValues" dxfId="80" priority="31"/>
    <cfRule type="duplicateValues" dxfId="79" priority="32"/>
    <cfRule type="duplicateValues" dxfId="78" priority="33"/>
    <cfRule type="duplicateValues" dxfId="77" priority="38"/>
  </conditionalFormatting>
  <conditionalFormatting sqref="A1:A1048576">
    <cfRule type="duplicateValues" dxfId="76" priority="21"/>
    <cfRule type="duplicateValues" dxfId="75" priority="22"/>
    <cfRule type="duplicateValues" dxfId="74" priority="48"/>
    <cfRule type="duplicateValues" dxfId="73" priority="49"/>
  </conditionalFormatting>
  <conditionalFormatting sqref="A3:A7">
    <cfRule type="duplicateValues" dxfId="72" priority="59"/>
    <cfRule type="duplicateValues" dxfId="71" priority="60"/>
    <cfRule type="duplicateValues" dxfId="70" priority="61"/>
    <cfRule type="duplicateValues" dxfId="69" priority="62"/>
    <cfRule type="duplicateValues" dxfId="68" priority="63"/>
    <cfRule type="duplicateValues" dxfId="67" priority="64"/>
    <cfRule type="duplicateValues" dxfId="66" priority="65"/>
    <cfRule type="duplicateValues" dxfId="65" priority="66"/>
    <cfRule type="duplicateValues" dxfId="64" priority="67"/>
    <cfRule type="duplicateValues" dxfId="63" priority="68"/>
    <cfRule type="duplicateValues" dxfId="62" priority="69"/>
    <cfRule type="duplicateValues" dxfId="61" priority="70"/>
    <cfRule type="duplicateValues" dxfId="60" priority="71"/>
    <cfRule type="duplicateValues" dxfId="59" priority="72"/>
    <cfRule type="duplicateValues" dxfId="58" priority="73"/>
  </conditionalFormatting>
  <conditionalFormatting sqref="A8:A1048576 A1:A2">
    <cfRule type="duplicateValues" dxfId="57" priority="41"/>
    <cfRule type="duplicateValues" dxfId="56" priority="42"/>
    <cfRule type="duplicateValues" dxfId="55" priority="43"/>
    <cfRule type="duplicateValues" dxfId="54" priority="44"/>
    <cfRule type="duplicateValues" dxfId="53" priority="45"/>
    <cfRule type="duplicateValues" dxfId="52" priority="46"/>
    <cfRule type="duplicateValues" dxfId="51" priority="47"/>
  </conditionalFormatting>
  <conditionalFormatting sqref="A8:A1048576">
    <cfRule type="duplicateValues" dxfId="50" priority="50"/>
    <cfRule type="duplicateValues" dxfId="49" priority="51"/>
    <cfRule type="duplicateValues" dxfId="48" priority="52"/>
  </conditionalFormatting>
  <conditionalFormatting sqref="D1:D2">
    <cfRule type="duplicateValues" dxfId="47" priority="26"/>
    <cfRule type="duplicateValues" dxfId="46" priority="29"/>
    <cfRule type="duplicateValues" dxfId="45" priority="34"/>
    <cfRule type="duplicateValues" dxfId="44" priority="35"/>
    <cfRule type="duplicateValues" dxfId="43" priority="36"/>
    <cfRule type="duplicateValues" dxfId="42" priority="37"/>
    <cfRule type="duplicateValues" dxfId="41" priority="39"/>
  </conditionalFormatting>
  <conditionalFormatting sqref="D1:D1048576 A1:A1048576">
    <cfRule type="duplicateValues" dxfId="40" priority="40"/>
  </conditionalFormatting>
  <conditionalFormatting sqref="D1:D1048576">
    <cfRule type="duplicateValues" dxfId="39" priority="23"/>
    <cfRule type="duplicateValues" dxfId="38" priority="24"/>
  </conditionalFormatting>
  <conditionalFormatting sqref="D3:D7">
    <cfRule type="duplicateValues" dxfId="37" priority="74"/>
    <cfRule type="duplicateValues" dxfId="36" priority="75"/>
    <cfRule type="duplicateValues" dxfId="35" priority="76"/>
    <cfRule type="duplicateValues" dxfId="34" priority="77"/>
    <cfRule type="duplicateValues" dxfId="33" priority="78"/>
    <cfRule type="duplicateValues" dxfId="32" priority="79"/>
    <cfRule type="duplicateValues" dxfId="31" priority="80"/>
    <cfRule type="duplicateValues" dxfId="30" priority="81"/>
    <cfRule type="duplicateValues" dxfId="29" priority="82"/>
    <cfRule type="duplicateValues" dxfId="28" priority="83"/>
    <cfRule type="duplicateValues" dxfId="27" priority="84"/>
  </conditionalFormatting>
  <conditionalFormatting sqref="D8:D1048576 D1:D2">
    <cfRule type="duplicateValues" dxfId="26" priority="53"/>
    <cfRule type="duplicateValues" dxfId="25" priority="54"/>
    <cfRule type="duplicateValues" dxfId="24" priority="55"/>
    <cfRule type="duplicateValues" dxfId="23" priority="56"/>
    <cfRule type="duplicateValues" dxfId="22" priority="57"/>
    <cfRule type="duplicateValues" dxfId="21" priority="58"/>
  </conditionalFormatting>
  <conditionalFormatting sqref="G17">
    <cfRule type="duplicateValues" dxfId="20" priority="1"/>
    <cfRule type="duplicateValues" dxfId="19" priority="2"/>
    <cfRule type="duplicateValues" dxfId="18" priority="3"/>
    <cfRule type="duplicateValues" dxfId="17" priority="4"/>
    <cfRule type="duplicateValues" dxfId="16" priority="5"/>
    <cfRule type="duplicateValues" dxfId="15" priority="6"/>
    <cfRule type="duplicateValues" dxfId="14" priority="7"/>
    <cfRule type="duplicateValues" dxfId="13" priority="8"/>
    <cfRule type="duplicateValues" dxfId="12" priority="9"/>
    <cfRule type="duplicateValues" dxfId="11" priority="10"/>
    <cfRule type="duplicateValues" dxfId="10" priority="11"/>
    <cfRule type="duplicateValues" dxfId="9" priority="12"/>
    <cfRule type="duplicateValues" dxfId="8" priority="13"/>
    <cfRule type="duplicateValues" dxfId="7" priority="14"/>
    <cfRule type="duplicateValues" dxfId="6" priority="15"/>
    <cfRule type="duplicateValues" dxfId="5" priority="16"/>
    <cfRule type="duplicateValues" dxfId="4" priority="17"/>
    <cfRule type="duplicateValues" dxfId="3" priority="18"/>
    <cfRule type="duplicateValues" dxfId="2" priority="19"/>
    <cfRule type="duplicateValues" dxfId="1" priority="20"/>
  </conditionalFormatting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22E18-EBC5-44BB-B3D4-B9B7D45DD7EC}">
  <sheetPr codeName="Hoja26"/>
  <dimension ref="A1:H1048239"/>
  <sheetViews>
    <sheetView topLeftCell="A117" zoomScale="85" zoomScaleNormal="85" workbookViewId="0">
      <selection activeCell="F131" sqref="F131"/>
    </sheetView>
  </sheetViews>
  <sheetFormatPr defaultColWidth="11.42578125" defaultRowHeight="14.45"/>
  <cols>
    <col min="1" max="1" width="11.140625" bestFit="1" customWidth="1"/>
    <col min="2" max="2" width="18.7109375" bestFit="1" customWidth="1"/>
    <col min="3" max="3" width="45" bestFit="1" customWidth="1"/>
    <col min="4" max="4" width="7.7109375" bestFit="1" customWidth="1"/>
    <col min="5" max="5" width="29.28515625" bestFit="1" customWidth="1"/>
    <col min="6" max="6" width="20.7109375" customWidth="1"/>
    <col min="7" max="7" width="15.140625" bestFit="1" customWidth="1"/>
  </cols>
  <sheetData>
    <row r="1" spans="1:8">
      <c r="B1" s="225">
        <f>SUM(B3:B37)</f>
        <v>418107</v>
      </c>
    </row>
    <row r="2" spans="1:8" ht="26.45">
      <c r="A2" s="376" t="s">
        <v>2610</v>
      </c>
      <c r="B2" s="376" t="s">
        <v>2611</v>
      </c>
      <c r="C2" s="376" t="s">
        <v>2612</v>
      </c>
      <c r="D2" s="376" t="s">
        <v>2613</v>
      </c>
      <c r="E2" s="376" t="s">
        <v>2614</v>
      </c>
    </row>
    <row r="3" spans="1:8">
      <c r="A3" s="234">
        <v>46080</v>
      </c>
      <c r="B3" s="235">
        <v>43840</v>
      </c>
      <c r="C3" s="236" t="s">
        <v>2615</v>
      </c>
      <c r="D3" s="236" t="s">
        <v>2616</v>
      </c>
      <c r="E3" s="236" t="s">
        <v>6</v>
      </c>
      <c r="F3" t="s">
        <v>2617</v>
      </c>
    </row>
    <row r="4" spans="1:8">
      <c r="A4" s="234">
        <v>46118</v>
      </c>
      <c r="B4" s="235">
        <v>25850</v>
      </c>
      <c r="C4" s="237" t="s">
        <v>2618</v>
      </c>
      <c r="D4" s="236" t="s">
        <v>2616</v>
      </c>
      <c r="E4" s="236" t="s">
        <v>35</v>
      </c>
      <c r="F4" t="s">
        <v>2617</v>
      </c>
    </row>
    <row r="5" spans="1:8">
      <c r="A5" s="238"/>
      <c r="B5" s="239">
        <v>15000</v>
      </c>
      <c r="C5" s="237" t="s">
        <v>2619</v>
      </c>
      <c r="D5" s="237"/>
      <c r="E5" s="237" t="s">
        <v>9</v>
      </c>
      <c r="F5" t="s">
        <v>2617</v>
      </c>
    </row>
    <row r="6" spans="1:8">
      <c r="A6" s="238">
        <v>46112</v>
      </c>
      <c r="B6" s="239">
        <v>6500</v>
      </c>
      <c r="C6" s="237" t="s">
        <v>2620</v>
      </c>
      <c r="D6" s="237" t="s">
        <v>2616</v>
      </c>
      <c r="E6" s="240" t="s">
        <v>18</v>
      </c>
      <c r="F6" t="s">
        <v>2617</v>
      </c>
      <c r="G6" s="241"/>
    </row>
    <row r="7" spans="1:8">
      <c r="A7" s="231">
        <v>46126</v>
      </c>
      <c r="B7" s="232">
        <v>421</v>
      </c>
      <c r="C7" s="233" t="s">
        <v>2621</v>
      </c>
      <c r="D7" s="233"/>
      <c r="E7" s="237" t="s">
        <v>9</v>
      </c>
    </row>
    <row r="8" spans="1:8">
      <c r="A8" s="231">
        <v>46128</v>
      </c>
      <c r="B8" s="232">
        <v>12250</v>
      </c>
      <c r="C8" s="233" t="s">
        <v>2622</v>
      </c>
      <c r="D8" s="233" t="s">
        <v>2616</v>
      </c>
      <c r="E8" s="233" t="s">
        <v>19</v>
      </c>
      <c r="F8" s="262" t="s">
        <v>2623</v>
      </c>
    </row>
    <row r="9" spans="1:8">
      <c r="A9" s="231">
        <v>46132</v>
      </c>
      <c r="B9" s="232">
        <v>19016</v>
      </c>
      <c r="C9" s="233" t="s">
        <v>2624</v>
      </c>
      <c r="D9" s="233" t="s">
        <v>2616</v>
      </c>
      <c r="E9" s="233" t="s">
        <v>9</v>
      </c>
      <c r="F9" s="262" t="s">
        <v>2623</v>
      </c>
    </row>
    <row r="10" spans="1:8">
      <c r="A10" s="274">
        <v>46128</v>
      </c>
      <c r="B10" s="275" t="s">
        <v>2625</v>
      </c>
      <c r="C10" s="276">
        <v>2025</v>
      </c>
      <c r="D10" s="276"/>
      <c r="E10" s="276">
        <v>2025</v>
      </c>
      <c r="F10" s="277" t="s">
        <v>2626</v>
      </c>
    </row>
    <row r="11" spans="1:8">
      <c r="A11" s="231">
        <v>46136</v>
      </c>
      <c r="B11" s="232">
        <v>10500</v>
      </c>
      <c r="C11" s="233" t="s">
        <v>2627</v>
      </c>
      <c r="D11" s="233" t="s">
        <v>2616</v>
      </c>
      <c r="E11" s="233" t="s">
        <v>27</v>
      </c>
      <c r="F11" s="262" t="s">
        <v>2623</v>
      </c>
    </row>
    <row r="12" spans="1:8">
      <c r="A12" s="231">
        <v>46069</v>
      </c>
      <c r="B12" s="232">
        <v>1650</v>
      </c>
      <c r="C12" s="233" t="s">
        <v>2628</v>
      </c>
      <c r="D12" s="233" t="s">
        <v>2616</v>
      </c>
      <c r="E12" s="233" t="s">
        <v>2629</v>
      </c>
      <c r="F12" s="262" t="s">
        <v>2623</v>
      </c>
      <c r="G12" t="s">
        <v>2630</v>
      </c>
    </row>
    <row r="13" spans="1:8">
      <c r="A13" s="231">
        <v>46070</v>
      </c>
      <c r="B13" s="232">
        <v>1700</v>
      </c>
      <c r="C13" s="233" t="s">
        <v>2628</v>
      </c>
      <c r="D13" s="233" t="s">
        <v>2616</v>
      </c>
      <c r="E13" s="233" t="s">
        <v>2629</v>
      </c>
      <c r="F13" s="262" t="s">
        <v>2623</v>
      </c>
      <c r="G13" t="s">
        <v>2631</v>
      </c>
      <c r="H13">
        <v>100</v>
      </c>
    </row>
    <row r="14" spans="1:8">
      <c r="A14" s="231">
        <v>46070</v>
      </c>
      <c r="B14" s="232">
        <v>1700</v>
      </c>
      <c r="C14" s="233" t="s">
        <v>2628</v>
      </c>
      <c r="D14" s="233" t="s">
        <v>2616</v>
      </c>
      <c r="E14" s="233" t="s">
        <v>2629</v>
      </c>
      <c r="F14" s="262" t="s">
        <v>2623</v>
      </c>
      <c r="G14" t="s">
        <v>2632</v>
      </c>
      <c r="H14">
        <v>100</v>
      </c>
    </row>
    <row r="15" spans="1:8">
      <c r="A15" s="231">
        <v>46116</v>
      </c>
      <c r="B15" s="232">
        <v>1500</v>
      </c>
      <c r="C15" s="233" t="s">
        <v>2628</v>
      </c>
      <c r="D15" s="233" t="s">
        <v>2616</v>
      </c>
      <c r="E15" s="233" t="s">
        <v>2629</v>
      </c>
      <c r="F15" s="262" t="s">
        <v>2623</v>
      </c>
      <c r="G15" t="s">
        <v>2633</v>
      </c>
    </row>
    <row r="16" spans="1:8">
      <c r="A16" s="231">
        <v>46116</v>
      </c>
      <c r="B16" s="232">
        <v>1500</v>
      </c>
      <c r="C16" s="233" t="s">
        <v>2628</v>
      </c>
      <c r="D16" s="233" t="s">
        <v>2616</v>
      </c>
      <c r="E16" s="233" t="s">
        <v>2629</v>
      </c>
      <c r="F16" s="262" t="s">
        <v>2623</v>
      </c>
      <c r="G16" t="s">
        <v>2634</v>
      </c>
    </row>
    <row r="17" spans="1:7">
      <c r="A17" s="231">
        <v>46116</v>
      </c>
      <c r="B17" s="232">
        <v>1500</v>
      </c>
      <c r="C17" s="233" t="s">
        <v>2628</v>
      </c>
      <c r="D17" s="233" t="s">
        <v>2616</v>
      </c>
      <c r="E17" s="233" t="s">
        <v>2629</v>
      </c>
      <c r="F17" s="262" t="s">
        <v>2623</v>
      </c>
      <c r="G17" t="s">
        <v>2635</v>
      </c>
    </row>
    <row r="18" spans="1:7">
      <c r="A18" s="231">
        <v>46116</v>
      </c>
      <c r="B18" s="232">
        <v>1450</v>
      </c>
      <c r="C18" s="233" t="s">
        <v>2628</v>
      </c>
      <c r="D18" s="233" t="s">
        <v>2616</v>
      </c>
      <c r="E18" s="233" t="s">
        <v>2629</v>
      </c>
      <c r="F18" s="262" t="s">
        <v>2623</v>
      </c>
      <c r="G18" t="s">
        <v>2636</v>
      </c>
    </row>
    <row r="19" spans="1:7">
      <c r="A19" s="231">
        <v>46116</v>
      </c>
      <c r="B19" s="232">
        <v>1500</v>
      </c>
      <c r="C19" s="233" t="s">
        <v>2628</v>
      </c>
      <c r="D19" s="233" t="s">
        <v>2616</v>
      </c>
      <c r="E19" s="233" t="s">
        <v>2629</v>
      </c>
      <c r="F19" s="262" t="s">
        <v>2623</v>
      </c>
      <c r="G19" t="s">
        <v>2637</v>
      </c>
    </row>
    <row r="20" spans="1:7">
      <c r="A20" s="231">
        <v>46116</v>
      </c>
      <c r="B20" s="232">
        <v>1500</v>
      </c>
      <c r="C20" s="233" t="s">
        <v>2628</v>
      </c>
      <c r="D20" s="233" t="s">
        <v>2616</v>
      </c>
      <c r="E20" s="233" t="s">
        <v>2629</v>
      </c>
      <c r="F20" s="262" t="s">
        <v>2623</v>
      </c>
      <c r="G20" t="s">
        <v>2638</v>
      </c>
    </row>
    <row r="21" spans="1:7">
      <c r="A21" s="231">
        <v>46116</v>
      </c>
      <c r="B21" s="232">
        <v>1750</v>
      </c>
      <c r="C21" s="233" t="s">
        <v>2628</v>
      </c>
      <c r="D21" s="233" t="s">
        <v>2616</v>
      </c>
      <c r="E21" s="233" t="s">
        <v>2629</v>
      </c>
      <c r="F21" s="262" t="s">
        <v>2623</v>
      </c>
      <c r="G21" t="s">
        <v>2639</v>
      </c>
    </row>
    <row r="22" spans="1:7">
      <c r="A22" s="231">
        <v>46122</v>
      </c>
      <c r="B22" s="232">
        <v>1500</v>
      </c>
      <c r="C22" s="233" t="s">
        <v>2628</v>
      </c>
      <c r="D22" s="233" t="s">
        <v>2616</v>
      </c>
      <c r="E22" s="233" t="s">
        <v>2629</v>
      </c>
      <c r="F22" s="262" t="s">
        <v>2623</v>
      </c>
      <c r="G22" t="s">
        <v>2640</v>
      </c>
    </row>
    <row r="23" spans="1:7">
      <c r="A23" s="231">
        <v>46122</v>
      </c>
      <c r="B23" s="232">
        <v>1500</v>
      </c>
      <c r="C23" s="233" t="s">
        <v>2628</v>
      </c>
      <c r="D23" s="233" t="s">
        <v>2616</v>
      </c>
      <c r="E23" s="233" t="s">
        <v>2629</v>
      </c>
      <c r="F23" s="262" t="s">
        <v>2623</v>
      </c>
      <c r="G23" t="s">
        <v>2641</v>
      </c>
    </row>
    <row r="24" spans="1:7">
      <c r="A24" s="231">
        <v>46140</v>
      </c>
      <c r="B24" s="232">
        <v>4950</v>
      </c>
      <c r="C24" s="233" t="s">
        <v>2628</v>
      </c>
      <c r="D24" s="233" t="s">
        <v>2616</v>
      </c>
      <c r="E24" s="233" t="s">
        <v>2629</v>
      </c>
      <c r="F24" s="262" t="s">
        <v>2623</v>
      </c>
      <c r="G24" t="s">
        <v>2274</v>
      </c>
    </row>
    <row r="25" spans="1:7">
      <c r="A25" s="231">
        <v>46140</v>
      </c>
      <c r="B25" s="232">
        <v>4950</v>
      </c>
      <c r="C25" s="233" t="s">
        <v>2628</v>
      </c>
      <c r="D25" s="233" t="s">
        <v>2616</v>
      </c>
      <c r="E25" s="233" t="s">
        <v>2629</v>
      </c>
      <c r="F25" s="262" t="s">
        <v>2623</v>
      </c>
      <c r="G25" t="s">
        <v>2642</v>
      </c>
    </row>
    <row r="26" spans="1:7">
      <c r="A26" s="231">
        <v>46140</v>
      </c>
      <c r="B26" s="232">
        <v>4950</v>
      </c>
      <c r="C26" s="233" t="s">
        <v>2628</v>
      </c>
      <c r="D26" s="233" t="s">
        <v>2616</v>
      </c>
      <c r="E26" s="233" t="s">
        <v>2629</v>
      </c>
      <c r="F26" s="262" t="s">
        <v>2623</v>
      </c>
      <c r="G26" t="s">
        <v>2643</v>
      </c>
    </row>
    <row r="27" spans="1:7">
      <c r="A27" s="231">
        <v>46140</v>
      </c>
      <c r="B27" s="232">
        <v>5100</v>
      </c>
      <c r="C27" s="233" t="s">
        <v>2628</v>
      </c>
      <c r="D27" s="233" t="s">
        <v>2616</v>
      </c>
      <c r="E27" s="233" t="s">
        <v>2629</v>
      </c>
      <c r="F27" s="262" t="s">
        <v>2623</v>
      </c>
      <c r="G27" t="s">
        <v>2644</v>
      </c>
    </row>
    <row r="28" spans="1:7">
      <c r="A28" s="231">
        <v>46140</v>
      </c>
      <c r="B28" s="232">
        <v>4850</v>
      </c>
      <c r="C28" s="233" t="s">
        <v>2628</v>
      </c>
      <c r="D28" s="233" t="s">
        <v>2616</v>
      </c>
      <c r="E28" s="233" t="s">
        <v>2629</v>
      </c>
      <c r="F28" s="262" t="s">
        <v>2623</v>
      </c>
      <c r="G28" t="s">
        <v>2645</v>
      </c>
    </row>
    <row r="29" spans="1:7">
      <c r="A29" s="231">
        <v>46140</v>
      </c>
      <c r="B29" s="232">
        <v>4950</v>
      </c>
      <c r="C29" s="233" t="s">
        <v>2628</v>
      </c>
      <c r="D29" s="233" t="s">
        <v>2616</v>
      </c>
      <c r="E29" s="233" t="s">
        <v>2629</v>
      </c>
      <c r="F29" s="262" t="s">
        <v>2623</v>
      </c>
      <c r="G29" t="s">
        <v>2646</v>
      </c>
    </row>
    <row r="30" spans="1:7">
      <c r="A30" s="231">
        <v>46140</v>
      </c>
      <c r="B30" s="232">
        <v>4950</v>
      </c>
      <c r="C30" s="233" t="s">
        <v>2628</v>
      </c>
      <c r="D30" s="233" t="s">
        <v>2616</v>
      </c>
      <c r="E30" s="233" t="s">
        <v>2629</v>
      </c>
      <c r="F30" s="262" t="s">
        <v>2623</v>
      </c>
      <c r="G30" t="s">
        <v>2647</v>
      </c>
    </row>
    <row r="31" spans="1:7">
      <c r="A31" s="231">
        <v>46140</v>
      </c>
      <c r="B31" s="232">
        <v>4950</v>
      </c>
      <c r="C31" s="233" t="s">
        <v>2628</v>
      </c>
      <c r="D31" s="233" t="s">
        <v>2616</v>
      </c>
      <c r="E31" s="233" t="s">
        <v>2629</v>
      </c>
      <c r="F31" s="262" t="s">
        <v>2623</v>
      </c>
      <c r="G31" t="s">
        <v>2648</v>
      </c>
    </row>
    <row r="32" spans="1:7">
      <c r="A32" s="231">
        <v>46147</v>
      </c>
      <c r="B32" s="232">
        <v>149680</v>
      </c>
      <c r="C32" s="233" t="s">
        <v>2649</v>
      </c>
      <c r="D32" s="233" t="s">
        <v>2616</v>
      </c>
      <c r="E32" s="233" t="s">
        <v>6</v>
      </c>
      <c r="F32" s="262" t="s">
        <v>2623</v>
      </c>
    </row>
    <row r="33" spans="1:7">
      <c r="A33" s="231">
        <v>46126</v>
      </c>
      <c r="B33" s="232">
        <v>7500</v>
      </c>
      <c r="C33" s="233" t="s">
        <v>2650</v>
      </c>
      <c r="D33" s="233" t="s">
        <v>2616</v>
      </c>
      <c r="E33" s="233" t="s">
        <v>27</v>
      </c>
      <c r="F33" s="262" t="s">
        <v>2623</v>
      </c>
    </row>
    <row r="34" spans="1:7">
      <c r="A34" s="231">
        <v>46148</v>
      </c>
      <c r="B34" s="232">
        <v>40000</v>
      </c>
      <c r="C34" s="233" t="s">
        <v>2651</v>
      </c>
      <c r="D34" s="233" t="s">
        <v>2616</v>
      </c>
      <c r="E34" s="233" t="s">
        <v>5</v>
      </c>
      <c r="F34" s="262" t="s">
        <v>2623</v>
      </c>
    </row>
    <row r="35" spans="1:7">
      <c r="A35" s="231">
        <v>46157</v>
      </c>
      <c r="B35" s="232">
        <v>2250</v>
      </c>
      <c r="C35" s="233" t="s">
        <v>2652</v>
      </c>
      <c r="D35" s="233" t="s">
        <v>2616</v>
      </c>
      <c r="E35" s="233" t="s">
        <v>33</v>
      </c>
      <c r="F35" s="262" t="s">
        <v>2623</v>
      </c>
    </row>
    <row r="36" spans="1:7">
      <c r="A36" s="231">
        <v>46161</v>
      </c>
      <c r="B36" s="232">
        <v>22000</v>
      </c>
      <c r="C36" s="233"/>
      <c r="D36" s="233" t="s">
        <v>2616</v>
      </c>
      <c r="E36" s="233" t="s">
        <v>5</v>
      </c>
      <c r="F36" s="262" t="s">
        <v>2623</v>
      </c>
    </row>
    <row r="37" spans="1:7">
      <c r="A37" s="231">
        <v>46164</v>
      </c>
      <c r="B37" s="232">
        <v>4900</v>
      </c>
      <c r="C37" s="233" t="s">
        <v>2628</v>
      </c>
      <c r="D37" s="233" t="s">
        <v>2616</v>
      </c>
      <c r="E37" s="233" t="s">
        <v>2629</v>
      </c>
      <c r="F37" s="262" t="s">
        <v>2623</v>
      </c>
      <c r="G37" t="s">
        <v>2284</v>
      </c>
    </row>
    <row r="38" spans="1:7">
      <c r="A38" s="231">
        <v>46178</v>
      </c>
      <c r="B38" s="232">
        <v>4200</v>
      </c>
      <c r="C38" s="233" t="s">
        <v>2651</v>
      </c>
      <c r="D38" s="233" t="s">
        <v>2616</v>
      </c>
      <c r="E38" s="233" t="s">
        <v>34</v>
      </c>
      <c r="F38" s="262" t="s">
        <v>2623</v>
      </c>
    </row>
    <row r="39" spans="1:7">
      <c r="A39" s="231">
        <v>46177</v>
      </c>
      <c r="B39" s="232">
        <v>22250</v>
      </c>
      <c r="C39" s="233" t="s">
        <v>2651</v>
      </c>
      <c r="D39" s="233" t="s">
        <v>2616</v>
      </c>
      <c r="E39" s="233" t="s">
        <v>3</v>
      </c>
      <c r="F39" s="262" t="s">
        <v>2623</v>
      </c>
    </row>
    <row r="40" spans="1:7">
      <c r="A40" s="231">
        <v>46177</v>
      </c>
      <c r="B40" s="232">
        <v>7960</v>
      </c>
      <c r="C40" s="233" t="s">
        <v>2651</v>
      </c>
      <c r="D40" s="233" t="s">
        <v>2616</v>
      </c>
      <c r="E40" s="233" t="s">
        <v>2653</v>
      </c>
      <c r="F40" s="262" t="s">
        <v>2623</v>
      </c>
    </row>
    <row r="41" spans="1:7">
      <c r="A41" s="293">
        <v>46182</v>
      </c>
      <c r="B41" s="294">
        <v>50000</v>
      </c>
      <c r="C41" s="295" t="s">
        <v>2654</v>
      </c>
      <c r="D41" s="295" t="s">
        <v>2616</v>
      </c>
      <c r="E41" s="295" t="s">
        <v>7</v>
      </c>
      <c r="F41" s="262" t="s">
        <v>2623</v>
      </c>
      <c r="G41" s="51"/>
    </row>
    <row r="42" spans="1:7">
      <c r="A42" s="293">
        <v>46188</v>
      </c>
      <c r="B42" s="294">
        <v>74700</v>
      </c>
      <c r="C42" s="295" t="s">
        <v>2649</v>
      </c>
      <c r="D42" s="295" t="s">
        <v>2616</v>
      </c>
      <c r="E42" s="295" t="s">
        <v>6</v>
      </c>
      <c r="F42" s="262" t="s">
        <v>2623</v>
      </c>
      <c r="G42" s="51"/>
    </row>
    <row r="43" spans="1:7">
      <c r="A43" s="293">
        <v>46185</v>
      </c>
      <c r="B43" s="294">
        <v>11800</v>
      </c>
      <c r="C43" s="295" t="s">
        <v>2651</v>
      </c>
      <c r="D43" s="295" t="s">
        <v>2616</v>
      </c>
      <c r="E43" s="295" t="s">
        <v>28</v>
      </c>
      <c r="F43" s="262" t="s">
        <v>2623</v>
      </c>
      <c r="G43" s="51"/>
    </row>
    <row r="44" spans="1:7">
      <c r="A44" s="293">
        <v>46184</v>
      </c>
      <c r="B44" s="294">
        <v>22250</v>
      </c>
      <c r="C44" s="295" t="s">
        <v>2651</v>
      </c>
      <c r="D44" s="295" t="s">
        <v>2616</v>
      </c>
      <c r="E44" s="295" t="s">
        <v>63</v>
      </c>
      <c r="F44" s="262" t="s">
        <v>2623</v>
      </c>
      <c r="G44" s="51"/>
    </row>
    <row r="45" spans="1:7">
      <c r="A45" s="293">
        <v>46185</v>
      </c>
      <c r="B45" s="294">
        <v>20000</v>
      </c>
      <c r="C45" s="295"/>
      <c r="D45" s="295" t="s">
        <v>2616</v>
      </c>
      <c r="E45" s="295" t="s">
        <v>18</v>
      </c>
      <c r="F45" s="262" t="s">
        <v>2623</v>
      </c>
      <c r="G45" s="51"/>
    </row>
    <row r="46" spans="1:7" s="292" customFormat="1" ht="57.6">
      <c r="A46" s="304">
        <v>46205</v>
      </c>
      <c r="B46" s="305">
        <v>27030</v>
      </c>
      <c r="C46" s="306" t="s">
        <v>2655</v>
      </c>
      <c r="D46" s="306" t="s">
        <v>2616</v>
      </c>
      <c r="E46" s="306" t="s">
        <v>9</v>
      </c>
      <c r="F46" s="307" t="s">
        <v>2656</v>
      </c>
    </row>
    <row r="47" spans="1:7">
      <c r="A47" s="293">
        <v>46191</v>
      </c>
      <c r="B47" s="294">
        <v>3500</v>
      </c>
      <c r="C47" s="295" t="s">
        <v>2628</v>
      </c>
      <c r="D47" s="295" t="s">
        <v>2616</v>
      </c>
      <c r="E47" s="295" t="s">
        <v>32</v>
      </c>
      <c r="F47" s="262" t="s">
        <v>2623</v>
      </c>
      <c r="G47" s="51"/>
    </row>
    <row r="48" spans="1:7" s="292" customFormat="1" ht="57.6">
      <c r="A48" s="304">
        <v>46206</v>
      </c>
      <c r="B48" s="305">
        <v>76860</v>
      </c>
      <c r="C48" s="306" t="s">
        <v>2657</v>
      </c>
      <c r="D48" s="306" t="s">
        <v>2616</v>
      </c>
      <c r="E48" s="306" t="s">
        <v>6</v>
      </c>
      <c r="F48" s="307" t="s">
        <v>2658</v>
      </c>
    </row>
    <row r="49" spans="1:7" s="292" customFormat="1" ht="57.6">
      <c r="A49" s="304">
        <v>46205</v>
      </c>
      <c r="B49" s="305">
        <v>14000</v>
      </c>
      <c r="C49" s="306" t="s">
        <v>2659</v>
      </c>
      <c r="D49" s="306" t="s">
        <v>2616</v>
      </c>
      <c r="E49" s="306" t="s">
        <v>11</v>
      </c>
      <c r="F49" s="307" t="s">
        <v>2660</v>
      </c>
    </row>
    <row r="50" spans="1:7">
      <c r="A50" s="293">
        <v>46205</v>
      </c>
      <c r="B50" s="294">
        <v>12850</v>
      </c>
      <c r="C50" s="295" t="s">
        <v>2396</v>
      </c>
      <c r="D50" s="295" t="s">
        <v>2616</v>
      </c>
      <c r="E50" s="295" t="s">
        <v>2661</v>
      </c>
      <c r="F50" s="262" t="s">
        <v>2623</v>
      </c>
      <c r="G50" s="51"/>
    </row>
    <row r="51" spans="1:7">
      <c r="A51" s="293">
        <v>46209</v>
      </c>
      <c r="B51" s="294">
        <v>40000</v>
      </c>
      <c r="C51" s="295"/>
      <c r="D51" s="295" t="s">
        <v>2616</v>
      </c>
      <c r="E51" s="295" t="s">
        <v>5</v>
      </c>
      <c r="F51" s="262" t="s">
        <v>2623</v>
      </c>
      <c r="G51" s="51"/>
    </row>
    <row r="52" spans="1:7">
      <c r="A52" s="293">
        <v>46210</v>
      </c>
      <c r="B52" s="294">
        <v>13300</v>
      </c>
      <c r="C52" s="295"/>
      <c r="D52" s="295" t="s">
        <v>2616</v>
      </c>
      <c r="E52" s="295" t="s">
        <v>41</v>
      </c>
      <c r="F52" s="262" t="s">
        <v>2623</v>
      </c>
      <c r="G52" s="51"/>
    </row>
    <row r="53" spans="1:7">
      <c r="A53" s="293">
        <v>46212</v>
      </c>
      <c r="B53" s="294">
        <v>16767.75</v>
      </c>
      <c r="C53" s="295"/>
      <c r="D53" s="295" t="s">
        <v>2616</v>
      </c>
      <c r="E53" s="295" t="s">
        <v>28</v>
      </c>
      <c r="F53" s="262" t="s">
        <v>2623</v>
      </c>
      <c r="G53" s="51"/>
    </row>
    <row r="54" spans="1:7">
      <c r="A54" s="293">
        <v>46216</v>
      </c>
      <c r="B54" s="294">
        <v>14180</v>
      </c>
      <c r="C54" s="295"/>
      <c r="D54" s="295" t="s">
        <v>2616</v>
      </c>
      <c r="E54" s="295" t="s">
        <v>17</v>
      </c>
      <c r="F54" s="262" t="s">
        <v>2623</v>
      </c>
      <c r="G54" s="51"/>
    </row>
    <row r="55" spans="1:7">
      <c r="A55" s="293">
        <v>46217</v>
      </c>
      <c r="B55" s="294">
        <v>70000</v>
      </c>
      <c r="C55" s="295"/>
      <c r="D55" s="295" t="s">
        <v>2616</v>
      </c>
      <c r="E55" s="295" t="s">
        <v>5</v>
      </c>
      <c r="F55" s="262" t="s">
        <v>2623</v>
      </c>
      <c r="G55" s="51"/>
    </row>
    <row r="56" spans="1:7">
      <c r="A56" s="293">
        <v>46223</v>
      </c>
      <c r="B56" s="294">
        <v>30000</v>
      </c>
      <c r="C56" s="233" t="s">
        <v>2662</v>
      </c>
      <c r="D56" s="295" t="s">
        <v>2616</v>
      </c>
      <c r="E56" s="295" t="s">
        <v>5</v>
      </c>
      <c r="F56" s="262" t="s">
        <v>2623</v>
      </c>
      <c r="G56" s="51"/>
    </row>
    <row r="57" spans="1:7">
      <c r="A57" s="293">
        <v>46223</v>
      </c>
      <c r="B57" s="294">
        <v>55798.080000000002</v>
      </c>
      <c r="C57" s="233" t="s">
        <v>2663</v>
      </c>
      <c r="D57" s="295" t="s">
        <v>2616</v>
      </c>
      <c r="E57" s="295" t="s">
        <v>6</v>
      </c>
      <c r="F57" s="262" t="s">
        <v>2623</v>
      </c>
      <c r="G57" s="51"/>
    </row>
    <row r="58" spans="1:7">
      <c r="A58" s="293">
        <v>46227</v>
      </c>
      <c r="B58" s="294">
        <v>151480</v>
      </c>
      <c r="C58" s="295"/>
      <c r="D58" s="295" t="s">
        <v>2616</v>
      </c>
      <c r="E58" s="295" t="s">
        <v>6</v>
      </c>
      <c r="F58" s="262" t="s">
        <v>2623</v>
      </c>
      <c r="G58" s="51"/>
    </row>
    <row r="59" spans="1:7">
      <c r="A59" s="293">
        <v>46227</v>
      </c>
      <c r="B59" s="294">
        <v>8200</v>
      </c>
      <c r="C59" s="295"/>
      <c r="D59" s="295" t="s">
        <v>2616</v>
      </c>
      <c r="E59" s="295" t="s">
        <v>18</v>
      </c>
      <c r="F59" s="262" t="s">
        <v>2623</v>
      </c>
      <c r="G59" s="51"/>
    </row>
    <row r="60" spans="1:7">
      <c r="A60" s="293">
        <v>46231</v>
      </c>
      <c r="B60" s="294">
        <v>5250</v>
      </c>
      <c r="C60" s="295" t="s">
        <v>2650</v>
      </c>
      <c r="D60" s="295" t="s">
        <v>2616</v>
      </c>
      <c r="E60" s="295" t="s">
        <v>27</v>
      </c>
      <c r="F60" s="262" t="s">
        <v>2623</v>
      </c>
      <c r="G60" s="51"/>
    </row>
    <row r="61" spans="1:7">
      <c r="A61" s="293">
        <v>46233</v>
      </c>
      <c r="B61" s="294">
        <v>80000</v>
      </c>
      <c r="C61" s="295"/>
      <c r="D61" s="295" t="s">
        <v>2616</v>
      </c>
      <c r="E61" s="295" t="s">
        <v>5</v>
      </c>
      <c r="F61" s="262" t="s">
        <v>2623</v>
      </c>
      <c r="G61" s="51"/>
    </row>
    <row r="62" spans="1:7">
      <c r="A62" s="293">
        <v>46235</v>
      </c>
      <c r="B62" s="294">
        <v>4650</v>
      </c>
      <c r="C62" s="295" t="s">
        <v>2396</v>
      </c>
      <c r="D62" s="295" t="s">
        <v>2616</v>
      </c>
      <c r="E62" s="295" t="s">
        <v>2661</v>
      </c>
      <c r="F62" s="262" t="s">
        <v>2623</v>
      </c>
      <c r="G62" s="51"/>
    </row>
    <row r="63" spans="1:7" s="292" customFormat="1">
      <c r="A63" s="293">
        <v>46235</v>
      </c>
      <c r="B63" s="294">
        <v>6200</v>
      </c>
      <c r="C63" s="295" t="s">
        <v>2396</v>
      </c>
      <c r="D63" s="295" t="s">
        <v>2616</v>
      </c>
      <c r="E63" s="295" t="s">
        <v>2661</v>
      </c>
      <c r="F63" s="262" t="s">
        <v>2623</v>
      </c>
    </row>
    <row r="64" spans="1:7">
      <c r="A64" s="293">
        <v>46237</v>
      </c>
      <c r="B64" s="294">
        <v>13280</v>
      </c>
      <c r="C64" s="295" t="s">
        <v>2664</v>
      </c>
      <c r="D64" s="295" t="s">
        <v>2616</v>
      </c>
      <c r="E64" s="295" t="s">
        <v>43</v>
      </c>
      <c r="F64" s="262" t="s">
        <v>2623</v>
      </c>
      <c r="G64" s="51"/>
    </row>
    <row r="65" spans="1:7">
      <c r="A65" s="293">
        <v>46239</v>
      </c>
      <c r="B65" s="294">
        <v>70000</v>
      </c>
      <c r="C65" s="295"/>
      <c r="D65" s="295" t="s">
        <v>2616</v>
      </c>
      <c r="E65" s="295" t="s">
        <v>5</v>
      </c>
      <c r="F65" s="262" t="s">
        <v>2623</v>
      </c>
      <c r="G65" s="51"/>
    </row>
    <row r="66" spans="1:7">
      <c r="A66" s="293">
        <v>46239</v>
      </c>
      <c r="B66" s="294">
        <v>7050</v>
      </c>
      <c r="C66" s="295" t="s">
        <v>2396</v>
      </c>
      <c r="D66" s="295" t="s">
        <v>2616</v>
      </c>
      <c r="E66" s="295" t="s">
        <v>2661</v>
      </c>
      <c r="F66" s="262" t="s">
        <v>2623</v>
      </c>
      <c r="G66" s="51"/>
    </row>
    <row r="67" spans="1:7">
      <c r="A67" s="293">
        <v>46240</v>
      </c>
      <c r="B67" s="294">
        <v>14260</v>
      </c>
      <c r="C67" s="295"/>
      <c r="D67" s="295" t="s">
        <v>2616</v>
      </c>
      <c r="E67" s="295" t="s">
        <v>11</v>
      </c>
      <c r="F67" s="262" t="s">
        <v>2623</v>
      </c>
      <c r="G67" s="51"/>
    </row>
    <row r="68" spans="1:7">
      <c r="A68" s="293">
        <v>46240</v>
      </c>
      <c r="B68" s="294">
        <v>6750</v>
      </c>
      <c r="C68" s="295" t="s">
        <v>2396</v>
      </c>
      <c r="D68" s="295" t="s">
        <v>2616</v>
      </c>
      <c r="E68" s="295" t="s">
        <v>2661</v>
      </c>
      <c r="F68" s="262" t="s">
        <v>2623</v>
      </c>
      <c r="G68" s="51"/>
    </row>
    <row r="69" spans="1:7">
      <c r="A69" s="293">
        <v>46241</v>
      </c>
      <c r="B69" s="294">
        <v>35700</v>
      </c>
      <c r="C69" s="295" t="s">
        <v>2665</v>
      </c>
      <c r="D69" s="295" t="s">
        <v>2616</v>
      </c>
      <c r="E69" s="295" t="s">
        <v>3</v>
      </c>
      <c r="F69" s="262" t="s">
        <v>2623</v>
      </c>
      <c r="G69" s="51"/>
    </row>
    <row r="70" spans="1:7">
      <c r="A70" s="293">
        <v>46243</v>
      </c>
      <c r="B70" s="294">
        <v>17000</v>
      </c>
      <c r="C70" s="295" t="s">
        <v>2664</v>
      </c>
      <c r="D70" s="295" t="s">
        <v>2616</v>
      </c>
      <c r="E70" s="295" t="s">
        <v>43</v>
      </c>
      <c r="F70" s="262" t="s">
        <v>2623</v>
      </c>
      <c r="G70" s="51"/>
    </row>
    <row r="71" spans="1:7">
      <c r="A71" s="293">
        <v>46244</v>
      </c>
      <c r="B71" s="294">
        <v>7200</v>
      </c>
      <c r="C71" s="295" t="s">
        <v>2396</v>
      </c>
      <c r="D71" s="295" t="s">
        <v>2616</v>
      </c>
      <c r="E71" s="295" t="s">
        <v>2661</v>
      </c>
      <c r="F71" s="262" t="s">
        <v>2623</v>
      </c>
      <c r="G71" s="51"/>
    </row>
    <row r="72" spans="1:7">
      <c r="A72" s="293">
        <v>46245</v>
      </c>
      <c r="B72" s="294">
        <v>70000</v>
      </c>
      <c r="C72" s="233" t="s">
        <v>2662</v>
      </c>
      <c r="D72" s="295" t="s">
        <v>2616</v>
      </c>
      <c r="E72" s="295" t="s">
        <v>2666</v>
      </c>
      <c r="F72" s="262" t="s">
        <v>2623</v>
      </c>
      <c r="G72" s="51"/>
    </row>
    <row r="73" spans="1:7">
      <c r="A73" s="293">
        <v>46245</v>
      </c>
      <c r="B73" s="294">
        <v>3100</v>
      </c>
      <c r="C73" s="295" t="s">
        <v>2396</v>
      </c>
      <c r="D73" s="295" t="s">
        <v>2616</v>
      </c>
      <c r="E73" s="295" t="s">
        <v>2661</v>
      </c>
      <c r="F73" s="262" t="s">
        <v>2623</v>
      </c>
      <c r="G73" s="51"/>
    </row>
    <row r="74" spans="1:7">
      <c r="A74" s="293">
        <v>46245</v>
      </c>
      <c r="B74" s="294">
        <v>5250</v>
      </c>
      <c r="C74" s="295" t="s">
        <v>2396</v>
      </c>
      <c r="D74" s="295" t="s">
        <v>2616</v>
      </c>
      <c r="E74" s="295" t="s">
        <v>2661</v>
      </c>
      <c r="F74" s="262" t="s">
        <v>2623</v>
      </c>
      <c r="G74" s="51"/>
    </row>
    <row r="75" spans="1:7">
      <c r="A75" s="293">
        <v>46247</v>
      </c>
      <c r="B75" s="294">
        <v>6250</v>
      </c>
      <c r="C75" s="295" t="s">
        <v>2667</v>
      </c>
      <c r="D75" s="295" t="s">
        <v>2616</v>
      </c>
      <c r="E75" s="295" t="s">
        <v>18</v>
      </c>
      <c r="F75" s="262" t="s">
        <v>2623</v>
      </c>
      <c r="G75" s="51"/>
    </row>
    <row r="76" spans="1:7">
      <c r="A76" s="293">
        <v>46247</v>
      </c>
      <c r="B76" s="294">
        <v>6050</v>
      </c>
      <c r="C76" s="295" t="s">
        <v>2396</v>
      </c>
      <c r="D76" s="295" t="s">
        <v>2616</v>
      </c>
      <c r="E76" s="295" t="s">
        <v>2661</v>
      </c>
      <c r="F76" s="262" t="s">
        <v>2623</v>
      </c>
      <c r="G76" s="51"/>
    </row>
    <row r="77" spans="1:7">
      <c r="A77" s="293">
        <v>46251</v>
      </c>
      <c r="B77" s="294">
        <v>7050</v>
      </c>
      <c r="C77" s="295" t="s">
        <v>2396</v>
      </c>
      <c r="D77" s="295" t="s">
        <v>2616</v>
      </c>
      <c r="E77" s="295" t="s">
        <v>2661</v>
      </c>
      <c r="F77" s="262" t="s">
        <v>2623</v>
      </c>
      <c r="G77" s="51"/>
    </row>
    <row r="78" spans="1:7">
      <c r="A78" s="293">
        <v>46252</v>
      </c>
      <c r="B78" s="294">
        <v>26570</v>
      </c>
      <c r="C78" s="295" t="s">
        <v>2668</v>
      </c>
      <c r="D78" s="295" t="s">
        <v>2616</v>
      </c>
      <c r="E78" s="295" t="s">
        <v>37</v>
      </c>
      <c r="F78" s="262" t="s">
        <v>2623</v>
      </c>
      <c r="G78" s="51"/>
    </row>
    <row r="79" spans="1:7">
      <c r="A79" s="293">
        <v>46252</v>
      </c>
      <c r="B79" s="294">
        <v>3100</v>
      </c>
      <c r="C79" s="295" t="s">
        <v>2396</v>
      </c>
      <c r="D79" s="295" t="s">
        <v>2616</v>
      </c>
      <c r="E79" s="295" t="s">
        <v>2661</v>
      </c>
      <c r="F79" s="262" t="s">
        <v>2623</v>
      </c>
      <c r="G79" s="51"/>
    </row>
    <row r="80" spans="1:7">
      <c r="A80" s="293">
        <v>46252</v>
      </c>
      <c r="B80" s="294">
        <v>5900</v>
      </c>
      <c r="C80" s="295" t="s">
        <v>2396</v>
      </c>
      <c r="D80" s="295" t="s">
        <v>2616</v>
      </c>
      <c r="E80" s="295" t="s">
        <v>2661</v>
      </c>
      <c r="F80" s="262" t="s">
        <v>2623</v>
      </c>
      <c r="G80" s="51"/>
    </row>
    <row r="81" spans="1:7">
      <c r="A81" s="293">
        <v>46253</v>
      </c>
      <c r="B81" s="294">
        <v>120000</v>
      </c>
      <c r="C81" s="295"/>
      <c r="D81" s="295" t="s">
        <v>2616</v>
      </c>
      <c r="E81" s="295" t="s">
        <v>5</v>
      </c>
      <c r="F81" s="262" t="s">
        <v>2623</v>
      </c>
      <c r="G81" s="51"/>
    </row>
    <row r="82" spans="1:7">
      <c r="A82" s="293">
        <v>46254</v>
      </c>
      <c r="B82" s="294">
        <v>19963.05</v>
      </c>
      <c r="C82" s="295"/>
      <c r="D82" s="295" t="s">
        <v>2616</v>
      </c>
      <c r="E82" s="295" t="s">
        <v>19</v>
      </c>
      <c r="F82" s="262" t="s">
        <v>2623</v>
      </c>
      <c r="G82" s="51"/>
    </row>
    <row r="83" spans="1:7" s="292" customFormat="1">
      <c r="A83" s="293">
        <v>46254</v>
      </c>
      <c r="B83" s="294">
        <v>36650</v>
      </c>
      <c r="C83" s="295" t="s">
        <v>2667</v>
      </c>
      <c r="D83" s="295" t="s">
        <v>2616</v>
      </c>
      <c r="E83" s="295" t="s">
        <v>3</v>
      </c>
      <c r="F83" s="262" t="s">
        <v>2623</v>
      </c>
    </row>
    <row r="84" spans="1:7" s="292" customFormat="1">
      <c r="A84" s="293">
        <v>46255</v>
      </c>
      <c r="B84" s="294">
        <v>8756.2000000000007</v>
      </c>
      <c r="C84" s="295"/>
      <c r="D84" s="295" t="s">
        <v>2616</v>
      </c>
      <c r="E84" s="295" t="s">
        <v>44</v>
      </c>
      <c r="F84" s="262" t="s">
        <v>2623</v>
      </c>
    </row>
    <row r="85" spans="1:7" s="292" customFormat="1">
      <c r="A85" s="293">
        <v>46255</v>
      </c>
      <c r="B85" s="294">
        <v>60000</v>
      </c>
      <c r="C85" s="295" t="s">
        <v>2669</v>
      </c>
      <c r="D85" s="295" t="s">
        <v>2616</v>
      </c>
      <c r="E85" s="295" t="s">
        <v>13</v>
      </c>
      <c r="F85" s="262" t="s">
        <v>2623</v>
      </c>
    </row>
    <row r="86" spans="1:7" s="292" customFormat="1">
      <c r="A86" s="293">
        <v>46255</v>
      </c>
      <c r="B86" s="294">
        <v>103991</v>
      </c>
      <c r="C86" s="295"/>
      <c r="D86" s="295" t="s">
        <v>2616</v>
      </c>
      <c r="E86" s="295" t="s">
        <v>6</v>
      </c>
      <c r="F86" s="262" t="s">
        <v>2623</v>
      </c>
    </row>
    <row r="87" spans="1:7" s="292" customFormat="1">
      <c r="A87" s="293">
        <v>46255</v>
      </c>
      <c r="B87" s="294">
        <v>18120.169999999998</v>
      </c>
      <c r="C87" s="233" t="s">
        <v>2655</v>
      </c>
      <c r="D87" s="295" t="s">
        <v>2616</v>
      </c>
      <c r="E87" s="295" t="s">
        <v>2670</v>
      </c>
      <c r="F87" s="262" t="s">
        <v>2623</v>
      </c>
    </row>
    <row r="88" spans="1:7">
      <c r="A88" s="293">
        <v>46258</v>
      </c>
      <c r="B88" s="294">
        <v>20591.07</v>
      </c>
      <c r="C88" s="295"/>
      <c r="D88" s="295" t="s">
        <v>2616</v>
      </c>
      <c r="E88" s="295" t="s">
        <v>9</v>
      </c>
      <c r="F88" s="262" t="s">
        <v>2623</v>
      </c>
      <c r="G88" s="51"/>
    </row>
    <row r="89" spans="1:7">
      <c r="A89" s="293">
        <v>46260</v>
      </c>
      <c r="B89" s="294">
        <v>157858.63</v>
      </c>
      <c r="C89" s="295" t="s">
        <v>2667</v>
      </c>
      <c r="D89" s="295" t="s">
        <v>2616</v>
      </c>
      <c r="E89" s="295" t="s">
        <v>5</v>
      </c>
      <c r="F89" s="262" t="s">
        <v>2623</v>
      </c>
      <c r="G89" s="51"/>
    </row>
    <row r="90" spans="1:7">
      <c r="A90" s="293">
        <v>46260</v>
      </c>
      <c r="B90" s="294">
        <v>6400</v>
      </c>
      <c r="C90" s="295" t="s">
        <v>2396</v>
      </c>
      <c r="D90" s="295" t="s">
        <v>2616</v>
      </c>
      <c r="E90" s="295" t="s">
        <v>2661</v>
      </c>
      <c r="F90" s="262" t="s">
        <v>2623</v>
      </c>
      <c r="G90" s="51"/>
    </row>
    <row r="91" spans="1:7">
      <c r="A91" s="293">
        <v>46260</v>
      </c>
      <c r="B91" s="294">
        <v>6300</v>
      </c>
      <c r="C91" s="295" t="s">
        <v>2396</v>
      </c>
      <c r="D91" s="295" t="s">
        <v>2616</v>
      </c>
      <c r="E91" s="295" t="s">
        <v>2661</v>
      </c>
      <c r="F91" s="262" t="s">
        <v>2623</v>
      </c>
      <c r="G91" s="51"/>
    </row>
    <row r="92" spans="1:7">
      <c r="A92" s="293">
        <v>46260</v>
      </c>
      <c r="B92" s="294">
        <v>6000</v>
      </c>
      <c r="C92" s="295" t="s">
        <v>2396</v>
      </c>
      <c r="D92" s="295" t="s">
        <v>2616</v>
      </c>
      <c r="E92" s="295" t="s">
        <v>2661</v>
      </c>
      <c r="F92" s="262" t="s">
        <v>2623</v>
      </c>
      <c r="G92" s="51"/>
    </row>
    <row r="93" spans="1:7">
      <c r="A93" s="293">
        <v>46261</v>
      </c>
      <c r="B93" s="294">
        <v>40755</v>
      </c>
      <c r="C93" s="295" t="s">
        <v>2652</v>
      </c>
      <c r="D93" s="295" t="s">
        <v>2616</v>
      </c>
      <c r="E93" s="295" t="s">
        <v>7</v>
      </c>
      <c r="F93" s="262" t="s">
        <v>2623</v>
      </c>
      <c r="G93" s="51"/>
    </row>
    <row r="94" spans="1:7">
      <c r="A94" s="293">
        <v>46261</v>
      </c>
      <c r="B94" s="294">
        <v>5980</v>
      </c>
      <c r="C94" s="233" t="s">
        <v>2624</v>
      </c>
      <c r="D94" s="295" t="s">
        <v>2616</v>
      </c>
      <c r="E94" s="295" t="s">
        <v>38</v>
      </c>
      <c r="F94" s="262" t="s">
        <v>2623</v>
      </c>
      <c r="G94" s="51"/>
    </row>
    <row r="95" spans="1:7">
      <c r="A95" s="293">
        <v>46268</v>
      </c>
      <c r="B95" s="294">
        <v>1300</v>
      </c>
      <c r="C95" s="233" t="s">
        <v>2628</v>
      </c>
      <c r="D95" s="295" t="s">
        <v>2616</v>
      </c>
      <c r="E95" s="295" t="s">
        <v>32</v>
      </c>
      <c r="F95" s="262" t="s">
        <v>2623</v>
      </c>
      <c r="G95" s="51"/>
    </row>
    <row r="96" spans="1:7">
      <c r="A96" s="293">
        <v>46269</v>
      </c>
      <c r="B96" s="294">
        <v>50000</v>
      </c>
      <c r="C96" s="233" t="s">
        <v>2669</v>
      </c>
      <c r="D96" s="295" t="s">
        <v>2616</v>
      </c>
      <c r="E96" s="295" t="s">
        <v>13</v>
      </c>
      <c r="F96" s="262" t="s">
        <v>2623</v>
      </c>
      <c r="G96" s="51"/>
    </row>
    <row r="97" spans="1:7">
      <c r="A97" s="293">
        <v>46272</v>
      </c>
      <c r="B97" s="294">
        <v>153220</v>
      </c>
      <c r="C97" s="233" t="s">
        <v>2663</v>
      </c>
      <c r="D97" s="295" t="s">
        <v>2616</v>
      </c>
      <c r="E97" s="295" t="s">
        <v>6</v>
      </c>
      <c r="F97" s="262" t="s">
        <v>2623</v>
      </c>
      <c r="G97" s="51"/>
    </row>
    <row r="98" spans="1:7">
      <c r="A98" s="293">
        <v>46272</v>
      </c>
      <c r="B98" s="294">
        <v>23240</v>
      </c>
      <c r="C98" s="233" t="s">
        <v>2668</v>
      </c>
      <c r="D98" s="295" t="s">
        <v>2616</v>
      </c>
      <c r="E98" s="295" t="s">
        <v>37</v>
      </c>
      <c r="F98" s="262" t="s">
        <v>2623</v>
      </c>
      <c r="G98" s="51"/>
    </row>
    <row r="99" spans="1:7">
      <c r="A99" s="293">
        <v>46274</v>
      </c>
      <c r="B99" s="294">
        <v>110000</v>
      </c>
      <c r="C99" s="233"/>
      <c r="D99" s="295" t="s">
        <v>2616</v>
      </c>
      <c r="E99" s="295" t="s">
        <v>2666</v>
      </c>
      <c r="F99" s="262" t="s">
        <v>2623</v>
      </c>
      <c r="G99" s="51"/>
    </row>
    <row r="100" spans="1:7">
      <c r="A100" s="293">
        <v>46279</v>
      </c>
      <c r="B100" s="294">
        <v>36000</v>
      </c>
      <c r="C100" s="233" t="s">
        <v>2671</v>
      </c>
      <c r="D100" s="295" t="s">
        <v>2616</v>
      </c>
      <c r="E100" s="295" t="s">
        <v>2666</v>
      </c>
      <c r="F100" s="262" t="s">
        <v>2623</v>
      </c>
      <c r="G100" s="51"/>
    </row>
    <row r="101" spans="1:7">
      <c r="A101" s="293">
        <v>46282</v>
      </c>
      <c r="B101" s="294">
        <v>18190</v>
      </c>
      <c r="C101" s="233"/>
      <c r="D101" s="295" t="s">
        <v>2616</v>
      </c>
      <c r="E101" s="295" t="s">
        <v>2672</v>
      </c>
      <c r="F101" s="262" t="s">
        <v>2623</v>
      </c>
      <c r="G101" s="51"/>
    </row>
    <row r="102" spans="1:7">
      <c r="A102" s="293">
        <v>46282</v>
      </c>
      <c r="B102" s="294">
        <v>40100</v>
      </c>
      <c r="C102" s="233" t="s">
        <v>2652</v>
      </c>
      <c r="D102" s="295" t="s">
        <v>2616</v>
      </c>
      <c r="E102" s="295" t="s">
        <v>2673</v>
      </c>
      <c r="F102" s="262" t="s">
        <v>2623</v>
      </c>
      <c r="G102" s="51"/>
    </row>
    <row r="103" spans="1:7">
      <c r="A103" s="293">
        <v>46283</v>
      </c>
      <c r="B103" s="294">
        <v>61840</v>
      </c>
      <c r="C103" s="233" t="s">
        <v>2674</v>
      </c>
      <c r="D103" s="295" t="s">
        <v>2616</v>
      </c>
      <c r="E103" s="295" t="s">
        <v>3</v>
      </c>
      <c r="F103" s="262" t="s">
        <v>2623</v>
      </c>
      <c r="G103" s="51"/>
    </row>
    <row r="104" spans="1:7">
      <c r="A104" s="293">
        <v>46283</v>
      </c>
      <c r="B104" s="294">
        <v>40000</v>
      </c>
      <c r="C104" s="233" t="s">
        <v>2669</v>
      </c>
      <c r="D104" s="295" t="s">
        <v>2616</v>
      </c>
      <c r="E104" s="295" t="s">
        <v>13</v>
      </c>
      <c r="F104" s="262" t="s">
        <v>2623</v>
      </c>
      <c r="G104" s="51"/>
    </row>
    <row r="105" spans="1:7">
      <c r="A105" s="293">
        <v>46284</v>
      </c>
      <c r="B105" s="294">
        <v>37950</v>
      </c>
      <c r="C105" s="233" t="s">
        <v>2396</v>
      </c>
      <c r="D105" s="295" t="s">
        <v>2616</v>
      </c>
      <c r="E105" s="295" t="s">
        <v>2661</v>
      </c>
      <c r="F105" s="262" t="s">
        <v>2623</v>
      </c>
      <c r="G105" s="51"/>
    </row>
    <row r="106" spans="1:7">
      <c r="A106" s="293">
        <v>46288</v>
      </c>
      <c r="B106" s="294">
        <v>50000</v>
      </c>
      <c r="C106" s="233"/>
      <c r="D106" s="295" t="s">
        <v>2616</v>
      </c>
      <c r="E106" s="295" t="s">
        <v>2666</v>
      </c>
      <c r="F106" s="262" t="s">
        <v>2623</v>
      </c>
      <c r="G106" s="51"/>
    </row>
    <row r="107" spans="1:7">
      <c r="A107" s="293">
        <v>46289</v>
      </c>
      <c r="B107" s="294">
        <v>10000</v>
      </c>
      <c r="C107" s="233"/>
      <c r="D107" s="295" t="s">
        <v>2616</v>
      </c>
      <c r="E107" s="295" t="s">
        <v>18</v>
      </c>
      <c r="F107" s="262" t="s">
        <v>2623</v>
      </c>
      <c r="G107" s="51"/>
    </row>
    <row r="108" spans="1:7">
      <c r="A108" s="293">
        <v>46289</v>
      </c>
      <c r="B108" s="294">
        <v>75020</v>
      </c>
      <c r="C108" s="233"/>
      <c r="D108" s="295" t="s">
        <v>2616</v>
      </c>
      <c r="E108" s="295" t="s">
        <v>6</v>
      </c>
      <c r="F108" s="262" t="s">
        <v>2623</v>
      </c>
      <c r="G108" s="51"/>
    </row>
    <row r="109" spans="1:7">
      <c r="A109" s="293">
        <v>46289</v>
      </c>
      <c r="B109" s="294">
        <v>33800</v>
      </c>
      <c r="C109" s="233" t="s">
        <v>2668</v>
      </c>
      <c r="D109" s="295" t="s">
        <v>2616</v>
      </c>
      <c r="E109" s="295" t="s">
        <v>37</v>
      </c>
      <c r="F109" s="262" t="s">
        <v>2623</v>
      </c>
      <c r="G109" s="51"/>
    </row>
    <row r="110" spans="1:7">
      <c r="A110" s="293">
        <v>46290</v>
      </c>
      <c r="B110" s="294">
        <v>12800</v>
      </c>
      <c r="C110" s="233"/>
      <c r="D110" s="295" t="s">
        <v>2616</v>
      </c>
      <c r="E110" s="295" t="s">
        <v>2675</v>
      </c>
      <c r="F110" s="262" t="s">
        <v>2623</v>
      </c>
      <c r="G110" s="51"/>
    </row>
    <row r="111" spans="1:7">
      <c r="A111" s="293">
        <v>46293</v>
      </c>
      <c r="B111" s="294">
        <v>100212</v>
      </c>
      <c r="C111" s="233" t="s">
        <v>2676</v>
      </c>
      <c r="D111" s="295" t="s">
        <v>2616</v>
      </c>
      <c r="E111" s="295" t="s">
        <v>6</v>
      </c>
      <c r="F111" s="262" t="s">
        <v>2623</v>
      </c>
      <c r="G111" s="51"/>
    </row>
    <row r="112" spans="1:7">
      <c r="A112" s="293">
        <v>46289</v>
      </c>
      <c r="B112" s="294">
        <v>21937.02</v>
      </c>
      <c r="C112" s="233" t="s">
        <v>2677</v>
      </c>
      <c r="D112" s="295" t="s">
        <v>2616</v>
      </c>
      <c r="E112" s="295" t="s">
        <v>9</v>
      </c>
      <c r="F112" s="262" t="s">
        <v>2623</v>
      </c>
      <c r="G112" s="51"/>
    </row>
    <row r="113" spans="1:7">
      <c r="A113" s="293">
        <v>46293</v>
      </c>
      <c r="B113" s="294">
        <v>6750</v>
      </c>
      <c r="C113" s="233" t="s">
        <v>2678</v>
      </c>
      <c r="D113" s="295" t="s">
        <v>2616</v>
      </c>
      <c r="E113" s="295" t="s">
        <v>24</v>
      </c>
      <c r="F113" s="262" t="s">
        <v>2623</v>
      </c>
      <c r="G113" s="51"/>
    </row>
    <row r="114" spans="1:7">
      <c r="A114" s="293">
        <v>46293</v>
      </c>
      <c r="B114" s="294">
        <v>6430</v>
      </c>
      <c r="C114" s="233" t="s">
        <v>2678</v>
      </c>
      <c r="D114" s="295" t="s">
        <v>2616</v>
      </c>
      <c r="E114" s="295" t="s">
        <v>24</v>
      </c>
      <c r="F114" s="262" t="s">
        <v>2623</v>
      </c>
      <c r="G114" s="51"/>
    </row>
    <row r="115" spans="1:7">
      <c r="A115" s="293">
        <v>46293</v>
      </c>
      <c r="B115" s="294">
        <v>6230</v>
      </c>
      <c r="C115" s="233" t="s">
        <v>2678</v>
      </c>
      <c r="D115" s="295" t="s">
        <v>2616</v>
      </c>
      <c r="E115" s="295" t="s">
        <v>24</v>
      </c>
      <c r="F115" s="262" t="s">
        <v>2623</v>
      </c>
      <c r="G115" s="51"/>
    </row>
    <row r="116" spans="1:7" ht="28.9">
      <c r="A116" s="288">
        <v>46295</v>
      </c>
      <c r="B116" s="289">
        <v>20540</v>
      </c>
      <c r="C116" s="290" t="s">
        <v>2678</v>
      </c>
      <c r="D116" s="290" t="s">
        <v>2616</v>
      </c>
      <c r="E116" s="290" t="s">
        <v>24</v>
      </c>
      <c r="F116" s="291" t="s">
        <v>2679</v>
      </c>
      <c r="G116" s="51"/>
    </row>
    <row r="117" spans="1:7">
      <c r="A117" s="293">
        <v>46294</v>
      </c>
      <c r="B117" s="294">
        <v>45000</v>
      </c>
      <c r="C117" s="233" t="s">
        <v>2680</v>
      </c>
      <c r="D117" s="295" t="s">
        <v>2616</v>
      </c>
      <c r="E117" s="295" t="s">
        <v>2666</v>
      </c>
      <c r="F117" s="262" t="s">
        <v>2623</v>
      </c>
      <c r="G117" s="51"/>
    </row>
    <row r="118" spans="1:7" ht="28.9">
      <c r="A118" s="288">
        <v>46301</v>
      </c>
      <c r="B118" s="289">
        <v>40000</v>
      </c>
      <c r="C118" s="290"/>
      <c r="D118" s="290" t="s">
        <v>2616</v>
      </c>
      <c r="E118" s="290" t="s">
        <v>14</v>
      </c>
      <c r="F118" s="291" t="s">
        <v>2679</v>
      </c>
      <c r="G118" s="51"/>
    </row>
    <row r="119" spans="1:7" ht="28.9">
      <c r="A119" s="288">
        <v>46213</v>
      </c>
      <c r="B119" s="289">
        <v>40160</v>
      </c>
      <c r="C119" s="290" t="s">
        <v>2681</v>
      </c>
      <c r="D119" s="290" t="s">
        <v>2616</v>
      </c>
      <c r="E119" s="290" t="s">
        <v>3</v>
      </c>
      <c r="F119" s="291" t="s">
        <v>2679</v>
      </c>
      <c r="G119" s="51"/>
    </row>
    <row r="120" spans="1:7" ht="28.9">
      <c r="A120" s="288">
        <v>46213</v>
      </c>
      <c r="B120" s="289">
        <v>70000</v>
      </c>
      <c r="C120" s="290" t="s">
        <v>2681</v>
      </c>
      <c r="D120" s="290" t="s">
        <v>2616</v>
      </c>
      <c r="E120" s="290" t="s">
        <v>2666</v>
      </c>
      <c r="F120" s="291" t="s">
        <v>2679</v>
      </c>
      <c r="G120" s="51"/>
    </row>
    <row r="121" spans="1:7" ht="28.9">
      <c r="A121" s="288">
        <v>46303</v>
      </c>
      <c r="B121" s="289">
        <v>7998</v>
      </c>
      <c r="C121" s="290"/>
      <c r="D121" s="290" t="s">
        <v>2616</v>
      </c>
      <c r="E121" s="290" t="s">
        <v>2666</v>
      </c>
      <c r="F121" s="291" t="s">
        <v>2679</v>
      </c>
      <c r="G121" s="51"/>
    </row>
    <row r="122" spans="1:7">
      <c r="A122" s="293">
        <v>46300</v>
      </c>
      <c r="B122" s="294">
        <v>3750</v>
      </c>
      <c r="C122" s="233" t="s">
        <v>2682</v>
      </c>
      <c r="D122" s="295" t="s">
        <v>2616</v>
      </c>
      <c r="E122" s="295" t="s">
        <v>2661</v>
      </c>
      <c r="F122" s="262" t="s">
        <v>2623</v>
      </c>
      <c r="G122" s="51"/>
    </row>
    <row r="123" spans="1:7">
      <c r="A123" s="293">
        <v>46283</v>
      </c>
      <c r="B123" s="294">
        <v>3050</v>
      </c>
      <c r="C123" s="233" t="s">
        <v>2682</v>
      </c>
      <c r="D123" s="295" t="s">
        <v>2616</v>
      </c>
      <c r="E123" s="295" t="s">
        <v>2661</v>
      </c>
      <c r="F123" s="262" t="s">
        <v>2623</v>
      </c>
      <c r="G123" s="51"/>
    </row>
    <row r="124" spans="1:7">
      <c r="A124" s="293">
        <v>46283</v>
      </c>
      <c r="B124" s="294">
        <v>11910</v>
      </c>
      <c r="C124" s="233"/>
      <c r="D124" s="295" t="s">
        <v>2616</v>
      </c>
      <c r="E124" s="295" t="s">
        <v>2653</v>
      </c>
      <c r="F124" s="262" t="s">
        <v>2623</v>
      </c>
      <c r="G124" s="51"/>
    </row>
    <row r="125" spans="1:7" ht="28.9">
      <c r="A125" s="288">
        <v>46304</v>
      </c>
      <c r="B125" s="289">
        <v>35200</v>
      </c>
      <c r="C125" s="290" t="s">
        <v>2682</v>
      </c>
      <c r="D125" s="290" t="s">
        <v>2616</v>
      </c>
      <c r="E125" s="290" t="s">
        <v>2661</v>
      </c>
      <c r="F125" s="291" t="s">
        <v>2679</v>
      </c>
      <c r="G125" s="51"/>
    </row>
    <row r="126" spans="1:7" ht="43.15">
      <c r="A126" s="288" t="s">
        <v>2683</v>
      </c>
      <c r="B126" s="289">
        <v>5800</v>
      </c>
      <c r="C126" s="290" t="s">
        <v>2684</v>
      </c>
      <c r="D126" s="290" t="s">
        <v>2616</v>
      </c>
      <c r="E126" s="290" t="s">
        <v>27</v>
      </c>
      <c r="F126" s="291" t="s">
        <v>2679</v>
      </c>
      <c r="G126" s="51" t="s">
        <v>2685</v>
      </c>
    </row>
    <row r="127" spans="1:7" ht="28.9">
      <c r="A127" s="288">
        <v>46308</v>
      </c>
      <c r="B127" s="289">
        <v>10000</v>
      </c>
      <c r="C127" s="290" t="s">
        <v>2652</v>
      </c>
      <c r="D127" s="290" t="s">
        <v>2616</v>
      </c>
      <c r="E127" s="290" t="s">
        <v>18</v>
      </c>
      <c r="F127" s="291" t="s">
        <v>2679</v>
      </c>
      <c r="G127" s="51"/>
    </row>
    <row r="128" spans="1:7" ht="28.9">
      <c r="A128" s="288">
        <v>46311</v>
      </c>
      <c r="B128" s="289">
        <v>29014</v>
      </c>
      <c r="C128" s="290"/>
      <c r="D128" s="290" t="s">
        <v>2616</v>
      </c>
      <c r="E128" s="290" t="s">
        <v>9</v>
      </c>
      <c r="F128" s="291" t="s">
        <v>2679</v>
      </c>
      <c r="G128" s="51"/>
    </row>
    <row r="1048239" spans="1:1">
      <c r="A1048239" s="377">
        <v>45898</v>
      </c>
    </row>
  </sheetData>
  <autoFilter ref="A2:E124" xr:uid="{E9822E18-EBC5-44BB-B3D4-B9B7D45DD7EC}"/>
  <sortState xmlns:xlrd2="http://schemas.microsoft.com/office/spreadsheetml/2017/richdata2" ref="A12:G31">
    <sortCondition ref="A12:A31"/>
  </sortState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8E2FF-192E-43C6-9ED1-91F020D6D7E2}">
  <sheetPr codeName="Hoja27"/>
  <dimension ref="A1:K28"/>
  <sheetViews>
    <sheetView topLeftCell="B1" workbookViewId="0">
      <selection activeCell="F28" sqref="F28"/>
    </sheetView>
  </sheetViews>
  <sheetFormatPr defaultColWidth="11.42578125" defaultRowHeight="14.45"/>
  <cols>
    <col min="2" max="2" width="10.42578125" customWidth="1"/>
    <col min="3" max="3" width="7.28515625" bestFit="1" customWidth="1"/>
    <col min="4" max="4" width="14.42578125" bestFit="1" customWidth="1"/>
    <col min="5" max="5" width="8.42578125" bestFit="1" customWidth="1"/>
    <col min="6" max="6" width="8.28515625" bestFit="1" customWidth="1"/>
    <col min="7" max="7" width="16.7109375" bestFit="1" customWidth="1"/>
    <col min="9" max="9" width="15" bestFit="1" customWidth="1"/>
    <col min="10" max="10" width="11.42578125" style="1"/>
    <col min="11" max="11" width="11.42578125" style="6"/>
  </cols>
  <sheetData>
    <row r="1" spans="1:11" ht="15.6">
      <c r="K1" s="2">
        <f>SUM(K3:K92)</f>
        <v>18530</v>
      </c>
    </row>
    <row r="2" spans="1:11" ht="25.15" customHeight="1">
      <c r="A2" s="3" t="s">
        <v>45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51</v>
      </c>
      <c r="G2" s="3" t="s">
        <v>52</v>
      </c>
      <c r="H2" s="4" t="s">
        <v>53</v>
      </c>
      <c r="I2" s="3" t="s">
        <v>54</v>
      </c>
      <c r="J2" s="5" t="s">
        <v>492</v>
      </c>
    </row>
    <row r="3" spans="1:11" s="14" customFormat="1" ht="15" customHeight="1">
      <c r="A3" s="7" t="s">
        <v>2686</v>
      </c>
      <c r="B3" s="8" t="s">
        <v>2687</v>
      </c>
      <c r="C3" s="7" t="s">
        <v>2688</v>
      </c>
      <c r="D3" s="7" t="s">
        <v>2689</v>
      </c>
      <c r="E3" s="9">
        <v>45746</v>
      </c>
      <c r="F3" s="9">
        <v>45777</v>
      </c>
      <c r="G3" s="7" t="s">
        <v>2690</v>
      </c>
      <c r="H3" s="10" t="s">
        <v>2691</v>
      </c>
      <c r="I3" s="11" t="s">
        <v>2692</v>
      </c>
      <c r="J3" s="12">
        <v>1950</v>
      </c>
      <c r="K3" s="13">
        <v>0</v>
      </c>
    </row>
    <row r="4" spans="1:11" s="14" customFormat="1" ht="15" customHeight="1">
      <c r="A4" s="7" t="s">
        <v>2693</v>
      </c>
      <c r="B4" s="8" t="s">
        <v>2687</v>
      </c>
      <c r="C4" s="7" t="s">
        <v>2688</v>
      </c>
      <c r="D4" s="7" t="s">
        <v>2694</v>
      </c>
      <c r="E4" s="9">
        <v>45746</v>
      </c>
      <c r="F4" s="9">
        <v>45777</v>
      </c>
      <c r="G4" s="7" t="s">
        <v>2690</v>
      </c>
      <c r="H4" s="10" t="s">
        <v>2691</v>
      </c>
      <c r="I4" s="11" t="s">
        <v>2692</v>
      </c>
      <c r="J4" s="12">
        <v>1950</v>
      </c>
      <c r="K4" s="13">
        <v>0</v>
      </c>
    </row>
    <row r="5" spans="1:11" s="14" customFormat="1" ht="15" customHeight="1">
      <c r="A5" s="7" t="s">
        <v>2695</v>
      </c>
      <c r="B5" s="8" t="s">
        <v>2687</v>
      </c>
      <c r="C5" s="7" t="s">
        <v>2688</v>
      </c>
      <c r="D5" s="7" t="s">
        <v>2696</v>
      </c>
      <c r="E5" s="9">
        <v>45749</v>
      </c>
      <c r="F5" s="9">
        <v>45776</v>
      </c>
      <c r="G5" s="7" t="s">
        <v>2690</v>
      </c>
      <c r="H5" s="10" t="s">
        <v>2691</v>
      </c>
      <c r="I5" s="11" t="s">
        <v>2692</v>
      </c>
      <c r="J5" s="12">
        <v>2150</v>
      </c>
      <c r="K5" s="13">
        <v>0</v>
      </c>
    </row>
    <row r="6" spans="1:11" s="14" customFormat="1" ht="15" customHeight="1">
      <c r="A6" s="7" t="s">
        <v>2697</v>
      </c>
      <c r="B6" s="8" t="s">
        <v>2687</v>
      </c>
      <c r="C6" s="7" t="s">
        <v>2688</v>
      </c>
      <c r="D6" s="7" t="s">
        <v>2698</v>
      </c>
      <c r="E6" s="9">
        <v>45749</v>
      </c>
      <c r="F6" s="9">
        <v>45776</v>
      </c>
      <c r="G6" s="7" t="s">
        <v>2690</v>
      </c>
      <c r="H6" s="10" t="s">
        <v>2691</v>
      </c>
      <c r="I6" s="11" t="s">
        <v>2692</v>
      </c>
      <c r="J6" s="12">
        <v>2150</v>
      </c>
      <c r="K6" s="13">
        <v>0</v>
      </c>
    </row>
    <row r="7" spans="1:11" s="14" customFormat="1" ht="15" customHeight="1">
      <c r="A7" s="7" t="s">
        <v>2699</v>
      </c>
      <c r="B7" s="8" t="s">
        <v>2687</v>
      </c>
      <c r="C7" s="7" t="s">
        <v>2688</v>
      </c>
      <c r="D7" s="7" t="s">
        <v>2700</v>
      </c>
      <c r="E7" s="9">
        <v>45763</v>
      </c>
      <c r="F7" s="9">
        <v>45785</v>
      </c>
      <c r="G7" s="7" t="s">
        <v>2701</v>
      </c>
      <c r="H7" s="10" t="s">
        <v>2702</v>
      </c>
      <c r="I7" s="11" t="s">
        <v>2692</v>
      </c>
      <c r="J7" s="12">
        <v>1950</v>
      </c>
      <c r="K7" s="13">
        <v>0</v>
      </c>
    </row>
    <row r="8" spans="1:11" s="14" customFormat="1" ht="15" customHeight="1">
      <c r="A8" s="7" t="s">
        <v>2703</v>
      </c>
      <c r="B8" s="8" t="s">
        <v>2687</v>
      </c>
      <c r="C8" s="7" t="s">
        <v>2688</v>
      </c>
      <c r="D8" s="7" t="s">
        <v>2704</v>
      </c>
      <c r="E8" s="9">
        <v>45763</v>
      </c>
      <c r="F8" s="9">
        <v>45785</v>
      </c>
      <c r="G8" s="7" t="s">
        <v>2701</v>
      </c>
      <c r="H8" s="10" t="s">
        <v>2702</v>
      </c>
      <c r="I8" s="11" t="s">
        <v>2692</v>
      </c>
      <c r="J8" s="12">
        <v>1950</v>
      </c>
      <c r="K8" s="13">
        <v>0</v>
      </c>
    </row>
    <row r="9" spans="1:11" s="14" customFormat="1" ht="15" customHeight="1">
      <c r="A9" s="7" t="s">
        <v>2705</v>
      </c>
      <c r="B9" s="8" t="s">
        <v>2687</v>
      </c>
      <c r="C9" s="7" t="s">
        <v>2688</v>
      </c>
      <c r="D9" s="7" t="s">
        <v>2706</v>
      </c>
      <c r="E9" s="9">
        <v>45770</v>
      </c>
      <c r="F9" s="9">
        <v>45798</v>
      </c>
      <c r="G9" s="7" t="s">
        <v>2701</v>
      </c>
      <c r="H9" s="10" t="s">
        <v>2702</v>
      </c>
      <c r="I9" s="11" t="s">
        <v>2692</v>
      </c>
      <c r="J9" s="12">
        <v>1950</v>
      </c>
      <c r="K9" s="13">
        <v>0</v>
      </c>
    </row>
    <row r="10" spans="1:11" s="14" customFormat="1" ht="15" customHeight="1">
      <c r="A10" s="7" t="s">
        <v>2707</v>
      </c>
      <c r="B10" s="8" t="s">
        <v>2687</v>
      </c>
      <c r="C10" s="7" t="s">
        <v>2688</v>
      </c>
      <c r="D10" s="7" t="s">
        <v>2708</v>
      </c>
      <c r="E10" s="9">
        <v>45770</v>
      </c>
      <c r="F10" s="9">
        <v>45798</v>
      </c>
      <c r="G10" s="7" t="s">
        <v>2701</v>
      </c>
      <c r="H10" s="10" t="s">
        <v>2702</v>
      </c>
      <c r="I10" s="11" t="s">
        <v>2692</v>
      </c>
      <c r="J10" s="12">
        <v>1950</v>
      </c>
      <c r="K10" s="13">
        <v>0</v>
      </c>
    </row>
    <row r="11" spans="1:11" ht="15" customHeight="1">
      <c r="A11" s="15" t="s">
        <v>2709</v>
      </c>
      <c r="B11" s="16" t="s">
        <v>2687</v>
      </c>
      <c r="C11" s="15" t="s">
        <v>2688</v>
      </c>
      <c r="D11" s="15" t="s">
        <v>2710</v>
      </c>
      <c r="E11" s="17">
        <v>45776</v>
      </c>
      <c r="F11" s="17">
        <v>45797</v>
      </c>
      <c r="G11" s="15" t="s">
        <v>2690</v>
      </c>
      <c r="H11" s="18" t="s">
        <v>2691</v>
      </c>
      <c r="I11" s="19" t="s">
        <v>2692</v>
      </c>
      <c r="J11" s="20">
        <v>2000</v>
      </c>
      <c r="K11" s="21">
        <v>2000</v>
      </c>
    </row>
    <row r="12" spans="1:11" s="14" customFormat="1" ht="15" customHeight="1">
      <c r="A12" s="15" t="s">
        <v>2711</v>
      </c>
      <c r="B12" s="16" t="s">
        <v>2687</v>
      </c>
      <c r="C12" s="15" t="s">
        <v>2688</v>
      </c>
      <c r="D12" s="15" t="s">
        <v>2712</v>
      </c>
      <c r="E12" s="17">
        <v>45776</v>
      </c>
      <c r="F12" s="17">
        <v>45797</v>
      </c>
      <c r="G12" s="15" t="s">
        <v>2690</v>
      </c>
      <c r="H12" s="18" t="s">
        <v>2691</v>
      </c>
      <c r="I12" s="19" t="s">
        <v>2692</v>
      </c>
      <c r="J12" s="20">
        <v>2000</v>
      </c>
      <c r="K12" s="21">
        <v>2000</v>
      </c>
    </row>
    <row r="13" spans="1:11" ht="15" customHeight="1">
      <c r="A13" s="15" t="s">
        <v>2713</v>
      </c>
      <c r="B13" s="16" t="s">
        <v>2687</v>
      </c>
      <c r="C13" s="15" t="s">
        <v>2688</v>
      </c>
      <c r="D13" s="15" t="s">
        <v>2714</v>
      </c>
      <c r="E13" s="17">
        <v>45778</v>
      </c>
      <c r="F13" s="17">
        <v>45797</v>
      </c>
      <c r="G13" s="15" t="s">
        <v>2715</v>
      </c>
      <c r="H13" s="18" t="s">
        <v>2691</v>
      </c>
      <c r="I13" s="19" t="s">
        <v>2692</v>
      </c>
      <c r="J13" s="20">
        <v>1950</v>
      </c>
      <c r="K13" s="21">
        <v>1950</v>
      </c>
    </row>
    <row r="14" spans="1:11" ht="15" customHeight="1">
      <c r="A14" s="15" t="s">
        <v>2716</v>
      </c>
      <c r="B14" s="16" t="s">
        <v>2687</v>
      </c>
      <c r="C14" s="15" t="s">
        <v>2688</v>
      </c>
      <c r="D14" s="15" t="s">
        <v>2717</v>
      </c>
      <c r="E14" s="17">
        <v>45778</v>
      </c>
      <c r="F14" s="17">
        <v>45804</v>
      </c>
      <c r="G14" s="15" t="s">
        <v>2715</v>
      </c>
      <c r="H14" s="18" t="s">
        <v>2691</v>
      </c>
      <c r="I14" s="19" t="s">
        <v>2692</v>
      </c>
      <c r="J14" s="20">
        <v>1950</v>
      </c>
      <c r="K14" s="21">
        <v>1950</v>
      </c>
    </row>
    <row r="15" spans="1:11" ht="15" customHeight="1">
      <c r="A15" s="15" t="s">
        <v>2718</v>
      </c>
      <c r="B15" s="16" t="s">
        <v>2687</v>
      </c>
      <c r="C15" s="15" t="s">
        <v>2688</v>
      </c>
      <c r="D15" s="15" t="s">
        <v>2719</v>
      </c>
      <c r="E15" s="17">
        <v>45787</v>
      </c>
      <c r="F15" s="17">
        <v>45809</v>
      </c>
      <c r="G15" s="15" t="s">
        <v>2720</v>
      </c>
      <c r="H15" s="18" t="s">
        <v>2721</v>
      </c>
      <c r="I15" s="19" t="s">
        <v>2692</v>
      </c>
      <c r="J15" s="20">
        <v>1950</v>
      </c>
      <c r="K15" s="21">
        <v>1950</v>
      </c>
    </row>
    <row r="16" spans="1:11">
      <c r="A16" s="15" t="s">
        <v>2722</v>
      </c>
      <c r="B16" s="16" t="s">
        <v>2687</v>
      </c>
      <c r="C16" s="15" t="s">
        <v>2688</v>
      </c>
      <c r="D16" s="15" t="s">
        <v>2723</v>
      </c>
      <c r="E16" s="17">
        <v>45797</v>
      </c>
      <c r="F16" s="17">
        <v>45823</v>
      </c>
      <c r="G16" s="17" t="s">
        <v>100</v>
      </c>
      <c r="H16" s="15" t="s">
        <v>66</v>
      </c>
      <c r="I16" s="22" t="s">
        <v>2724</v>
      </c>
      <c r="J16" s="20">
        <f>2150+60</f>
        <v>2210</v>
      </c>
      <c r="K16" s="20">
        <f>2150+60</f>
        <v>2210</v>
      </c>
    </row>
    <row r="17" spans="1:11" ht="15" customHeight="1">
      <c r="A17" s="15" t="s">
        <v>2725</v>
      </c>
      <c r="B17" s="16" t="s">
        <v>2687</v>
      </c>
      <c r="C17" s="15" t="s">
        <v>2688</v>
      </c>
      <c r="D17" s="15" t="s">
        <v>2726</v>
      </c>
      <c r="E17" s="17">
        <v>45798</v>
      </c>
      <c r="F17" s="17">
        <v>45826</v>
      </c>
      <c r="G17" s="15" t="s">
        <v>2701</v>
      </c>
      <c r="H17" s="18" t="s">
        <v>2702</v>
      </c>
      <c r="I17" s="19" t="s">
        <v>2692</v>
      </c>
      <c r="J17" s="20">
        <f>2050+60</f>
        <v>2110</v>
      </c>
      <c r="K17" s="20">
        <f>2050+60</f>
        <v>2110</v>
      </c>
    </row>
    <row r="18" spans="1:11" ht="15" customHeight="1">
      <c r="A18" s="15" t="s">
        <v>2727</v>
      </c>
      <c r="B18" s="16" t="s">
        <v>2687</v>
      </c>
      <c r="C18" s="15" t="s">
        <v>2688</v>
      </c>
      <c r="D18" s="15" t="s">
        <v>2728</v>
      </c>
      <c r="E18" s="17">
        <v>45795</v>
      </c>
      <c r="F18" s="23">
        <v>45819</v>
      </c>
      <c r="G18" s="15" t="s">
        <v>2729</v>
      </c>
      <c r="H18" s="18" t="s">
        <v>2730</v>
      </c>
      <c r="I18" s="19" t="s">
        <v>2692</v>
      </c>
      <c r="J18" s="20">
        <v>2250</v>
      </c>
      <c r="K18" s="20">
        <v>2250</v>
      </c>
    </row>
    <row r="19" spans="1:11" ht="15" customHeight="1">
      <c r="A19" s="15" t="s">
        <v>2731</v>
      </c>
      <c r="B19" s="16" t="s">
        <v>2687</v>
      </c>
      <c r="C19" s="15" t="s">
        <v>2688</v>
      </c>
      <c r="D19" s="15" t="s">
        <v>2732</v>
      </c>
      <c r="E19" s="17">
        <v>45798</v>
      </c>
      <c r="F19" s="23">
        <v>45826</v>
      </c>
      <c r="G19" s="15" t="s">
        <v>2701</v>
      </c>
      <c r="H19" s="18" t="s">
        <v>2702</v>
      </c>
      <c r="I19" s="19" t="s">
        <v>2692</v>
      </c>
      <c r="J19" s="20">
        <f>2050+60</f>
        <v>2110</v>
      </c>
      <c r="K19" s="20">
        <f>2050+60</f>
        <v>2110</v>
      </c>
    </row>
    <row r="28" spans="1:11">
      <c r="J28" s="24">
        <f>SUM(J3:J27)</f>
        <v>34530</v>
      </c>
    </row>
  </sheetData>
  <autoFilter ref="A2:J6" xr:uid="{9E6EC9AA-3A5B-4060-90D1-B8437DA4A70B}"/>
  <conditionalFormatting sqref="D1:D1048576">
    <cfRule type="duplicateValues" dxfId="0" priority="1"/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0C1CA2401576D4A9A8BCD97C398BDB9" ma:contentTypeVersion="5" ma:contentTypeDescription="Crear nuevo documento." ma:contentTypeScope="" ma:versionID="62091d34b40b6eda0f9c79589fc60be0">
  <xsd:schema xmlns:xsd="http://www.w3.org/2001/XMLSchema" xmlns:xs="http://www.w3.org/2001/XMLSchema" xmlns:p="http://schemas.microsoft.com/office/2006/metadata/properties" xmlns:ns3="8f9368f9-ef09-4eee-b1f3-985dd9c829b8" targetNamespace="http://schemas.microsoft.com/office/2006/metadata/properties" ma:root="true" ma:fieldsID="902831f9519ec7a9ae2a5461955bc4c2" ns3:_="">
    <xsd:import namespace="8f9368f9-ef09-4eee-b1f3-985dd9c829b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9368f9-ef09-4eee-b1f3-985dd9c829b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f9368f9-ef09-4eee-b1f3-985dd9c829b8" xsi:nil="true"/>
  </documentManagement>
</p:properties>
</file>

<file path=customXml/itemProps1.xml><?xml version="1.0" encoding="utf-8"?>
<ds:datastoreItem xmlns:ds="http://schemas.openxmlformats.org/officeDocument/2006/customXml" ds:itemID="{66275AD7-061E-4CE2-80C7-01048C3C73D7}"/>
</file>

<file path=customXml/itemProps2.xml><?xml version="1.0" encoding="utf-8"?>
<ds:datastoreItem xmlns:ds="http://schemas.openxmlformats.org/officeDocument/2006/customXml" ds:itemID="{71312B47-21DC-48A3-B157-A2443F5A791F}"/>
</file>

<file path=customXml/itemProps3.xml><?xml version="1.0" encoding="utf-8"?>
<ds:datastoreItem xmlns:ds="http://schemas.openxmlformats.org/officeDocument/2006/customXml" ds:itemID="{26F16645-9C1F-4284-AB74-A65E311547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Cuin Vargas</dc:creator>
  <cp:keywords/>
  <dc:description/>
  <cp:lastModifiedBy>Eliezer Tawil</cp:lastModifiedBy>
  <cp:revision/>
  <dcterms:created xsi:type="dcterms:W3CDTF">2025-06-10T17:41:43Z</dcterms:created>
  <dcterms:modified xsi:type="dcterms:W3CDTF">2026-10-16T20:36:39Z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0x01010000C1CA2401576D4A9A8BCD97C398BDB9</vt:lpwstr>
  </property>
</Properties>
</file>